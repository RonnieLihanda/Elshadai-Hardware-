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G\OneDrive - eMobilis Technology Training Institute\Desktop\"/>
    </mc:Choice>
  </mc:AlternateContent>
  <xr:revisionPtr revIDLastSave="0" documentId="13_ncr:1_{C3A26F9A-A3C5-40D4-BBF3-9C929C267920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Hardware Inventory" sheetId="1" r:id="rId1"/>
    <sheet name="Summary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7" i="2" l="1"/>
  <c r="B6" i="2"/>
  <c r="B5" i="2"/>
  <c r="B4" i="2"/>
  <c r="B3" i="2"/>
  <c r="L69" i="1"/>
  <c r="M69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45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2" i="1"/>
  <c r="D69" i="1"/>
  <c r="E69" i="1"/>
  <c r="F69" i="1"/>
  <c r="G69" i="1"/>
  <c r="H69" i="1"/>
  <c r="I69" i="1"/>
  <c r="J69" i="1"/>
  <c r="K69" i="1"/>
  <c r="C69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2" i="1"/>
  <c r="K58" i="1"/>
  <c r="J58" i="1"/>
  <c r="K57" i="1"/>
  <c r="J57" i="1"/>
  <c r="K56" i="1"/>
  <c r="J56" i="1"/>
  <c r="K55" i="1"/>
  <c r="J55" i="1"/>
  <c r="K54" i="1"/>
  <c r="J54" i="1"/>
  <c r="K53" i="1"/>
  <c r="J53" i="1"/>
  <c r="K52" i="1"/>
  <c r="J52" i="1"/>
  <c r="K51" i="1"/>
  <c r="J51" i="1"/>
  <c r="K45" i="1"/>
  <c r="J45" i="1"/>
  <c r="K44" i="1"/>
  <c r="J44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6" i="1"/>
  <c r="K47" i="1"/>
  <c r="K48" i="1"/>
  <c r="K49" i="1"/>
  <c r="K50" i="1"/>
  <c r="K59" i="1"/>
  <c r="K60" i="1"/>
  <c r="K61" i="1"/>
  <c r="K62" i="1"/>
  <c r="K63" i="1"/>
  <c r="K64" i="1"/>
  <c r="K65" i="1"/>
  <c r="K66" i="1"/>
  <c r="K67" i="1"/>
  <c r="K68" i="1"/>
  <c r="K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6" i="1"/>
  <c r="J47" i="1"/>
  <c r="J48" i="1"/>
  <c r="J49" i="1"/>
  <c r="J50" i="1"/>
  <c r="J59" i="1"/>
  <c r="J60" i="1"/>
  <c r="J61" i="1"/>
  <c r="J62" i="1"/>
  <c r="J63" i="1"/>
  <c r="J64" i="1"/>
  <c r="J65" i="1"/>
  <c r="J66" i="1"/>
  <c r="J67" i="1"/>
  <c r="J68" i="1"/>
  <c r="J2" i="1"/>
</calcChain>
</file>

<file path=xl/sharedStrings.xml><?xml version="1.0" encoding="utf-8"?>
<sst xmlns="http://schemas.openxmlformats.org/spreadsheetml/2006/main" count="158" uniqueCount="140">
  <si>
    <t>Item Code</t>
  </si>
  <si>
    <t>Description</t>
  </si>
  <si>
    <t>Quantity</t>
  </si>
  <si>
    <t>0203002</t>
  </si>
  <si>
    <t>VESTA EMULSION WHITE 4 LTRS</t>
  </si>
  <si>
    <t>0203019</t>
  </si>
  <si>
    <t>VESTA EMULSION CREAM 4 LTS</t>
  </si>
  <si>
    <t>0201431</t>
  </si>
  <si>
    <t>DURA S/FAST WHITE 1 LTRS</t>
  </si>
  <si>
    <t>0203005</t>
  </si>
  <si>
    <t>VESTA GLOSS TRUE BLUE 4 LTS</t>
  </si>
  <si>
    <t>0203020</t>
  </si>
  <si>
    <t>VESTA GLOSS CREAM 4 LTS</t>
  </si>
  <si>
    <t>0201079</t>
  </si>
  <si>
    <t>BASCO PG DEEP BLUE 1 LTR</t>
  </si>
  <si>
    <t>0201108</t>
  </si>
  <si>
    <t>BASCO PG RUBY RED 1 LTR</t>
  </si>
  <si>
    <t>0201009</t>
  </si>
  <si>
    <t>BASCO PG CREAM 1 LTR</t>
  </si>
  <si>
    <t>0201080</t>
  </si>
  <si>
    <t>BASCO PG BERM/BLUE 1 LTR</t>
  </si>
  <si>
    <t>0201212</t>
  </si>
  <si>
    <t>BASCO PG CREAM 1/2 LTR</t>
  </si>
  <si>
    <t>0206574</t>
  </si>
  <si>
    <t>BASCO W.A LIGHT OAK 1/2 LTR</t>
  </si>
  <si>
    <t>CROWN WALLPLAST PUTTY 2.5KG</t>
  </si>
  <si>
    <t>0206576</t>
  </si>
  <si>
    <t>CROWN WALLPLAST PUTTY 1KG</t>
  </si>
  <si>
    <t>0606033</t>
  </si>
  <si>
    <t>0208019</t>
  </si>
  <si>
    <t>TURPENTINE 500ML NAS</t>
  </si>
  <si>
    <t>0208020</t>
  </si>
  <si>
    <t>TURPENTINE 1LTR</t>
  </si>
  <si>
    <t>1202009</t>
  </si>
  <si>
    <t>MOMBASA CEMENT SILVER</t>
  </si>
  <si>
    <t>0908078</t>
  </si>
  <si>
    <t>GCI KIROKO 2.0M X 1.2M</t>
  </si>
  <si>
    <t>0908079</t>
  </si>
  <si>
    <t>GCI KIROKO 2.5M X 30G</t>
  </si>
  <si>
    <t>0911011</t>
  </si>
  <si>
    <t>NAILS 2" KGS</t>
  </si>
  <si>
    <t>0913998</t>
  </si>
  <si>
    <t>NAILS 11/2" KILOS LOCAL</t>
  </si>
  <si>
    <t>0911015</t>
  </si>
  <si>
    <t>NAILS 2 1/2" KGS</t>
  </si>
  <si>
    <t>0914020</t>
  </si>
  <si>
    <t>NAILS 3" KGS</t>
  </si>
  <si>
    <t>0914025</t>
  </si>
  <si>
    <t>NAILS 4" KGS</t>
  </si>
  <si>
    <t>0914030</t>
  </si>
  <si>
    <t>NAILS 5" KGS</t>
  </si>
  <si>
    <t>0914036</t>
  </si>
  <si>
    <t>NAILS 6" KGS</t>
  </si>
  <si>
    <t>0914041</t>
  </si>
  <si>
    <t>NAILS ROOFING KGS</t>
  </si>
  <si>
    <t>0980139</t>
  </si>
  <si>
    <t>CHICKEN WIRE 1"X3'GIHINA</t>
  </si>
  <si>
    <t>0916001</t>
  </si>
  <si>
    <t>WELDMESH 8X4X8X2GXMM 75X75 4</t>
  </si>
  <si>
    <t>0216023</t>
  </si>
  <si>
    <t>PONAL PRO. 1/4KG</t>
  </si>
  <si>
    <t>0216022</t>
  </si>
  <si>
    <t>PONAL PRO. 1/2KG</t>
  </si>
  <si>
    <t>1202028</t>
  </si>
  <si>
    <t>WATERPROOF CEMENT KINKY 1KG</t>
  </si>
  <si>
    <t>TET-001</t>
  </si>
  <si>
    <t>TET-002</t>
  </si>
  <si>
    <t>TET-003</t>
  </si>
  <si>
    <t>TET-004</t>
  </si>
  <si>
    <t>TET-005</t>
  </si>
  <si>
    <t>TET-006</t>
  </si>
  <si>
    <t>TET-007</t>
  </si>
  <si>
    <t>Cables clips</t>
  </si>
  <si>
    <t>TET-008</t>
  </si>
  <si>
    <t>TET-009</t>
  </si>
  <si>
    <t>TET-015</t>
  </si>
  <si>
    <t>TET-016</t>
  </si>
  <si>
    <t>TET-017</t>
  </si>
  <si>
    <t>Light Masking Tap</t>
  </si>
  <si>
    <t>TET-018</t>
  </si>
  <si>
    <t>TET-019</t>
  </si>
  <si>
    <t>TET-020</t>
  </si>
  <si>
    <t>Manila 18 ply</t>
  </si>
  <si>
    <t>TET-021</t>
  </si>
  <si>
    <t>TET-024</t>
  </si>
  <si>
    <t>Twin socket</t>
  </si>
  <si>
    <t>TET-025</t>
  </si>
  <si>
    <t>Single socket</t>
  </si>
  <si>
    <t>TET-026</t>
  </si>
  <si>
    <t>Gypsum Screws 2.5inch</t>
  </si>
  <si>
    <t>Gypsum Screws 1 inch</t>
  </si>
  <si>
    <t>Cable 1.5 ile</t>
  </si>
  <si>
    <t>Paint brush 2inch white</t>
  </si>
  <si>
    <t>Paint brush 3inch white</t>
  </si>
  <si>
    <t>Paint brush 4inch white</t>
  </si>
  <si>
    <t>SAND.EMERY ROLL PUTTY X 25MTS (15cm)</t>
  </si>
  <si>
    <t>Paint brush 6 inch white</t>
  </si>
  <si>
    <t>Paint brush 2inch black</t>
  </si>
  <si>
    <t>Paint brush 3inch black</t>
  </si>
  <si>
    <t>Paint brush 4inch black</t>
  </si>
  <si>
    <t>Paint brush 5inch black</t>
  </si>
  <si>
    <t>Paint brush 6inch black</t>
  </si>
  <si>
    <t>insulating tape</t>
  </si>
  <si>
    <t>thread sill</t>
  </si>
  <si>
    <t>5 watt LED bulbs - colia</t>
  </si>
  <si>
    <t>5 watts led - Ktek</t>
  </si>
  <si>
    <t>7 watt LED bulbs - colia</t>
  </si>
  <si>
    <t>7 watt LED bulbs - k-tek</t>
  </si>
  <si>
    <t>9 watt LED bulbs - k-tek</t>
  </si>
  <si>
    <t>9 watt LED bulbs - colia</t>
  </si>
  <si>
    <t>12 watt LED bulbs - colia</t>
  </si>
  <si>
    <t>12 watt LED bulbs - k-tek</t>
  </si>
  <si>
    <t>15 watt LED bulbs - k-tek</t>
  </si>
  <si>
    <t>15 watt LED bulbs -colia</t>
  </si>
  <si>
    <t>Spirit small</t>
  </si>
  <si>
    <t>cellotape</t>
  </si>
  <si>
    <t>total</t>
  </si>
  <si>
    <t>welding rod</t>
  </si>
  <si>
    <t>HG Burner</t>
  </si>
  <si>
    <t>Manila kamba</t>
  </si>
  <si>
    <t>Buying Price (KES)-per Item</t>
  </si>
  <si>
    <t>Buying Price (KES)-</t>
  </si>
  <si>
    <t>Selling Price (KES)-per Item</t>
  </si>
  <si>
    <t>Final selling price - Per Item</t>
  </si>
  <si>
    <t>Selling Price (KES)-Total</t>
  </si>
  <si>
    <t>Final selling price - total</t>
  </si>
  <si>
    <t>Profit (KES)- per item</t>
  </si>
  <si>
    <t>Final Profit (KES) -per item</t>
  </si>
  <si>
    <t>Profit (KES)- total</t>
  </si>
  <si>
    <t>Final Profit (KES) -total</t>
  </si>
  <si>
    <t>Summary</t>
  </si>
  <si>
    <t>Total selling Price</t>
  </si>
  <si>
    <t>Total Buying Price</t>
  </si>
  <si>
    <t>Final Price totals</t>
  </si>
  <si>
    <t>Burner</t>
  </si>
  <si>
    <t>Profit</t>
  </si>
  <si>
    <t>Column1</t>
  </si>
  <si>
    <t>Column4</t>
  </si>
  <si>
    <t>title</t>
  </si>
  <si>
    <t>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</si>
</sst>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"/>
    </font>
    <font>
      <b/>
      <sz val="12"/>
      <color rgb="FFFFFFFF"/>
      <name val="Cambria"/>
      <charset val="1"/>
    </font>
    <font>
      <b/>
      <sz val="11"/>
      <name val="Cambria"/>
      <charset val="1"/>
    </font>
    <font>
      <b/>
      <sz val="11"/>
      <color theme="0"/>
      <name val="Calibri"/>
      <family val="2"/>
    </font>
    <font>
      <b/>
      <sz val="11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366092"/>
        <bgColor rgb="FF333399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Font="1" applyBorder="1"/>
    <xf numFmtId="4" fontId="0" fillId="0" borderId="1" xfId="0" applyNumberFormat="1" applyBorder="1"/>
    <xf numFmtId="0" fontId="2" fillId="0" borderId="0" xfId="0" applyFont="1"/>
    <xf numFmtId="0" fontId="0" fillId="0" borderId="0" xfId="0"/>
    <xf numFmtId="4" fontId="0" fillId="0" borderId="0" xfId="0" applyNumberFormat="1"/>
    <xf numFmtId="0" fontId="0" fillId="3" borderId="1" xfId="0" applyFont="1" applyFill="1" applyBorder="1"/>
    <xf numFmtId="4" fontId="0" fillId="3" borderId="1" xfId="0" applyNumberFormat="1" applyFill="1" applyBorder="1"/>
    <xf numFmtId="4" fontId="0" fillId="4" borderId="1" xfId="0" applyNumberFormat="1" applyFill="1" applyBorder="1"/>
    <xf numFmtId="4" fontId="0" fillId="5" borderId="1" xfId="0" applyNumberFormat="1" applyFill="1" applyBorder="1"/>
    <xf numFmtId="4" fontId="0" fillId="6" borderId="1" xfId="0" applyNumberFormat="1" applyFill="1" applyBorder="1"/>
    <xf numFmtId="4" fontId="0" fillId="0" borderId="0" xfId="0" applyNumberFormat="1" applyBorder="1"/>
    <xf numFmtId="0" fontId="0" fillId="0" borderId="1" xfId="0" applyFont="1" applyFill="1" applyBorder="1"/>
    <xf numFmtId="0" fontId="0" fillId="0" borderId="1" xfId="0" applyBorder="1"/>
    <xf numFmtId="0" fontId="3" fillId="7" borderId="2" xfId="0" applyFont="1" applyFill="1" applyBorder="1" applyAlignment="1">
      <alignment horizontal="center"/>
    </xf>
    <xf numFmtId="0" fontId="4" fillId="3" borderId="0" xfId="0" applyFont="1" applyFill="1" applyBorder="1"/>
    <xf numFmtId="0" fontId="0" fillId="0" borderId="0" xfId="0" applyBorder="1"/>
  </cellXfs>
  <cellStyles count="1">
    <cellStyle name="Normal" xfId="0" builtinId="0"/>
  </cellStyles>
  <dxfs count="3">
    <dxf>
      <numFmt numFmtId="4" formatCode="#,##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0.249977111117893"/>
        </patternFill>
      </fill>
    </dxf>
    <dxf>
      <border outline="0">
        <bottom style="double">
          <color indexed="64"/>
        </bottom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366092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6728E9D-F1A4-4B1F-8730-75E7E00DACD1}" name="Table2" displayName="Table2" ref="A2:D7" totalsRowShown="0" tableBorderDxfId="2">
  <autoFilter ref="A2:D7" xr:uid="{46728E9D-F1A4-4B1F-8730-75E7E00DACD1}"/>
  <tableColumns count="4">
    <tableColumn id="1" xr3:uid="{9417D23E-520B-403B-A6D4-D2C50C49B40C}" name="title" dataDxfId="1"/>
    <tableColumn id="2" xr3:uid="{9BBF842A-53B1-43DE-9A1D-A5FC31A007AD}" name="Amount" dataDxfId="0"/>
    <tableColumn id="3" xr3:uid="{2D44FFAF-49A1-4C96-9BD7-CF4CECBC6AF3}" name="Column1"/>
    <tableColumn id="4" xr3:uid="{4AD15FB7-E0BF-4D36-87E8-6A8D3CB752A6}" name="Column4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5"/>
  <sheetViews>
    <sheetView tabSelected="1" topLeftCell="D1" zoomScaleNormal="100" workbookViewId="0">
      <pane ySplit="1" topLeftCell="A2" activePane="bottomLeft" state="frozen"/>
      <selection pane="bottomLeft" activeCell="O12" sqref="O12"/>
    </sheetView>
  </sheetViews>
  <sheetFormatPr defaultColWidth="8.6640625" defaultRowHeight="14.4" x14ac:dyDescent="0.3"/>
  <cols>
    <col min="1" max="1" width="26.44140625" customWidth="1"/>
    <col min="2" max="2" width="40" customWidth="1"/>
    <col min="3" max="3" width="12" customWidth="1"/>
    <col min="4" max="4" width="15" customWidth="1"/>
    <col min="5" max="5" width="15" style="5" customWidth="1"/>
    <col min="6" max="6" width="15" customWidth="1"/>
    <col min="7" max="9" width="15" style="5" customWidth="1"/>
    <col min="10" max="10" width="15" customWidth="1"/>
    <col min="11" max="11" width="13.109375" customWidth="1"/>
    <col min="12" max="12" width="11.21875" customWidth="1"/>
    <col min="13" max="13" width="12.109375" customWidth="1"/>
  </cols>
  <sheetData>
    <row r="1" spans="1:13" ht="60" x14ac:dyDescent="0.3">
      <c r="A1" s="1" t="s">
        <v>0</v>
      </c>
      <c r="B1" s="1" t="s">
        <v>1</v>
      </c>
      <c r="C1" s="1" t="s">
        <v>2</v>
      </c>
      <c r="D1" s="1" t="s">
        <v>120</v>
      </c>
      <c r="E1" s="1" t="s">
        <v>121</v>
      </c>
      <c r="F1" s="1" t="s">
        <v>122</v>
      </c>
      <c r="G1" s="1" t="s">
        <v>123</v>
      </c>
      <c r="H1" s="1" t="s">
        <v>124</v>
      </c>
      <c r="I1" s="1" t="s">
        <v>125</v>
      </c>
      <c r="J1" s="1" t="s">
        <v>126</v>
      </c>
      <c r="K1" s="1" t="s">
        <v>127</v>
      </c>
      <c r="L1" s="1" t="s">
        <v>128</v>
      </c>
      <c r="M1" s="1" t="s">
        <v>129</v>
      </c>
    </row>
    <row r="2" spans="1:13" x14ac:dyDescent="0.3">
      <c r="A2" s="2" t="s">
        <v>3</v>
      </c>
      <c r="B2" s="2" t="s">
        <v>4</v>
      </c>
      <c r="C2" s="2">
        <v>9</v>
      </c>
      <c r="D2" s="3">
        <v>460</v>
      </c>
      <c r="E2" s="9">
        <f>C2*D2</f>
        <v>4140</v>
      </c>
      <c r="F2" s="10">
        <v>700</v>
      </c>
      <c r="G2" s="11">
        <v>650</v>
      </c>
      <c r="H2" s="10">
        <f>F2*C2</f>
        <v>6300</v>
      </c>
      <c r="I2" s="11">
        <f>G2*C2</f>
        <v>5850</v>
      </c>
      <c r="J2" s="10">
        <f>F2-D2</f>
        <v>240</v>
      </c>
      <c r="K2" s="11">
        <f>G2-D2</f>
        <v>190</v>
      </c>
      <c r="L2" s="10">
        <f>H2-E2</f>
        <v>2160</v>
      </c>
      <c r="M2" s="11">
        <f>I2-E2</f>
        <v>1710</v>
      </c>
    </row>
    <row r="3" spans="1:13" x14ac:dyDescent="0.3">
      <c r="A3" s="2" t="s">
        <v>5</v>
      </c>
      <c r="B3" s="2" t="s">
        <v>6</v>
      </c>
      <c r="C3" s="2">
        <v>6</v>
      </c>
      <c r="D3" s="3">
        <v>460</v>
      </c>
      <c r="E3" s="9">
        <f t="shared" ref="E3:E66" si="0">C3*D3</f>
        <v>2760</v>
      </c>
      <c r="F3" s="10">
        <v>700</v>
      </c>
      <c r="G3" s="11">
        <v>650</v>
      </c>
      <c r="H3" s="10">
        <f t="shared" ref="H3:H66" si="1">F3*C3</f>
        <v>4200</v>
      </c>
      <c r="I3" s="11">
        <f t="shared" ref="I3:I66" si="2">G3*C3</f>
        <v>3900</v>
      </c>
      <c r="J3" s="10">
        <f>F3-D3</f>
        <v>240</v>
      </c>
      <c r="K3" s="11">
        <f>G3-D3</f>
        <v>190</v>
      </c>
      <c r="L3" s="10">
        <f t="shared" ref="L3:L66" si="3">H3-E3</f>
        <v>1440</v>
      </c>
      <c r="M3" s="11">
        <f t="shared" ref="M3:M66" si="4">I3-E3</f>
        <v>1140</v>
      </c>
    </row>
    <row r="4" spans="1:13" x14ac:dyDescent="0.3">
      <c r="A4" s="2" t="s">
        <v>7</v>
      </c>
      <c r="B4" s="2" t="s">
        <v>8</v>
      </c>
      <c r="C4" s="2">
        <v>8</v>
      </c>
      <c r="D4" s="3">
        <v>265</v>
      </c>
      <c r="E4" s="9">
        <f t="shared" si="0"/>
        <v>2120</v>
      </c>
      <c r="F4" s="10">
        <v>350</v>
      </c>
      <c r="G4" s="11">
        <v>320</v>
      </c>
      <c r="H4" s="10">
        <f t="shared" si="1"/>
        <v>2800</v>
      </c>
      <c r="I4" s="11">
        <f t="shared" si="2"/>
        <v>2560</v>
      </c>
      <c r="J4" s="10">
        <f>F4-D4</f>
        <v>85</v>
      </c>
      <c r="K4" s="11">
        <f>G4-D4</f>
        <v>55</v>
      </c>
      <c r="L4" s="10">
        <f t="shared" si="3"/>
        <v>680</v>
      </c>
      <c r="M4" s="11">
        <f t="shared" si="4"/>
        <v>440</v>
      </c>
    </row>
    <row r="5" spans="1:13" x14ac:dyDescent="0.3">
      <c r="A5" s="2" t="s">
        <v>9</v>
      </c>
      <c r="B5" s="2" t="s">
        <v>10</v>
      </c>
      <c r="C5" s="2">
        <v>2</v>
      </c>
      <c r="D5" s="3">
        <v>1000</v>
      </c>
      <c r="E5" s="9">
        <f t="shared" si="0"/>
        <v>2000</v>
      </c>
      <c r="F5" s="10">
        <v>1350</v>
      </c>
      <c r="G5" s="11">
        <v>1200</v>
      </c>
      <c r="H5" s="10">
        <f t="shared" si="1"/>
        <v>2700</v>
      </c>
      <c r="I5" s="11">
        <f t="shared" si="2"/>
        <v>2400</v>
      </c>
      <c r="J5" s="10">
        <f>F5-D5</f>
        <v>350</v>
      </c>
      <c r="K5" s="11">
        <f>G5-D5</f>
        <v>200</v>
      </c>
      <c r="L5" s="10">
        <f t="shared" si="3"/>
        <v>700</v>
      </c>
      <c r="M5" s="11">
        <f t="shared" si="4"/>
        <v>400</v>
      </c>
    </row>
    <row r="6" spans="1:13" x14ac:dyDescent="0.3">
      <c r="A6" s="2" t="s">
        <v>11</v>
      </c>
      <c r="B6" s="2" t="s">
        <v>12</v>
      </c>
      <c r="C6" s="2">
        <v>2</v>
      </c>
      <c r="D6" s="3">
        <v>1000</v>
      </c>
      <c r="E6" s="9">
        <f t="shared" si="0"/>
        <v>2000</v>
      </c>
      <c r="F6" s="10">
        <v>1350</v>
      </c>
      <c r="G6" s="11">
        <v>1200</v>
      </c>
      <c r="H6" s="10">
        <f t="shared" si="1"/>
        <v>2700</v>
      </c>
      <c r="I6" s="11">
        <f t="shared" si="2"/>
        <v>2400</v>
      </c>
      <c r="J6" s="10">
        <f>F6-D6</f>
        <v>350</v>
      </c>
      <c r="K6" s="11">
        <f>G6-D6</f>
        <v>200</v>
      </c>
      <c r="L6" s="10">
        <f t="shared" si="3"/>
        <v>700</v>
      </c>
      <c r="M6" s="11">
        <f t="shared" si="4"/>
        <v>400</v>
      </c>
    </row>
    <row r="7" spans="1:13" x14ac:dyDescent="0.3">
      <c r="A7" s="2" t="s">
        <v>13</v>
      </c>
      <c r="B7" s="2" t="s">
        <v>14</v>
      </c>
      <c r="C7" s="2">
        <v>1</v>
      </c>
      <c r="D7" s="3">
        <v>300</v>
      </c>
      <c r="E7" s="9">
        <f t="shared" si="0"/>
        <v>300</v>
      </c>
      <c r="F7" s="10">
        <v>420</v>
      </c>
      <c r="G7" s="11">
        <v>380</v>
      </c>
      <c r="H7" s="10">
        <f t="shared" si="1"/>
        <v>420</v>
      </c>
      <c r="I7" s="11">
        <f t="shared" si="2"/>
        <v>380</v>
      </c>
      <c r="J7" s="10">
        <f>F7-D7</f>
        <v>120</v>
      </c>
      <c r="K7" s="11">
        <f>G7-D7</f>
        <v>80</v>
      </c>
      <c r="L7" s="10">
        <f t="shared" si="3"/>
        <v>120</v>
      </c>
      <c r="M7" s="11">
        <f t="shared" si="4"/>
        <v>80</v>
      </c>
    </row>
    <row r="8" spans="1:13" x14ac:dyDescent="0.3">
      <c r="A8" s="2" t="s">
        <v>15</v>
      </c>
      <c r="B8" s="2" t="s">
        <v>16</v>
      </c>
      <c r="C8" s="2">
        <v>2</v>
      </c>
      <c r="D8" s="3">
        <v>300</v>
      </c>
      <c r="E8" s="9">
        <f t="shared" si="0"/>
        <v>600</v>
      </c>
      <c r="F8" s="10">
        <v>420</v>
      </c>
      <c r="G8" s="11">
        <v>380</v>
      </c>
      <c r="H8" s="10">
        <f t="shared" si="1"/>
        <v>840</v>
      </c>
      <c r="I8" s="11">
        <f t="shared" si="2"/>
        <v>760</v>
      </c>
      <c r="J8" s="10">
        <f>F8-D8</f>
        <v>120</v>
      </c>
      <c r="K8" s="11">
        <f>G8-D8</f>
        <v>80</v>
      </c>
      <c r="L8" s="10">
        <f t="shared" si="3"/>
        <v>240</v>
      </c>
      <c r="M8" s="11">
        <f t="shared" si="4"/>
        <v>160</v>
      </c>
    </row>
    <row r="9" spans="1:13" x14ac:dyDescent="0.3">
      <c r="A9" s="2" t="s">
        <v>17</v>
      </c>
      <c r="B9" s="2" t="s">
        <v>18</v>
      </c>
      <c r="C9" s="2">
        <v>3</v>
      </c>
      <c r="D9" s="3">
        <v>300</v>
      </c>
      <c r="E9" s="9">
        <f t="shared" si="0"/>
        <v>900</v>
      </c>
      <c r="F9" s="10">
        <v>420</v>
      </c>
      <c r="G9" s="11">
        <v>380</v>
      </c>
      <c r="H9" s="10">
        <f t="shared" si="1"/>
        <v>1260</v>
      </c>
      <c r="I9" s="11">
        <f t="shared" si="2"/>
        <v>1140</v>
      </c>
      <c r="J9" s="10">
        <f>F9-D9</f>
        <v>120</v>
      </c>
      <c r="K9" s="11">
        <f>G9-D9</f>
        <v>80</v>
      </c>
      <c r="L9" s="10">
        <f t="shared" si="3"/>
        <v>360</v>
      </c>
      <c r="M9" s="11">
        <f t="shared" si="4"/>
        <v>240</v>
      </c>
    </row>
    <row r="10" spans="1:13" x14ac:dyDescent="0.3">
      <c r="A10" s="2" t="s">
        <v>19</v>
      </c>
      <c r="B10" s="2" t="s">
        <v>20</v>
      </c>
      <c r="C10" s="2">
        <v>1</v>
      </c>
      <c r="D10" s="3">
        <v>300</v>
      </c>
      <c r="E10" s="9">
        <f t="shared" si="0"/>
        <v>300</v>
      </c>
      <c r="F10" s="10">
        <v>420</v>
      </c>
      <c r="G10" s="11">
        <v>380</v>
      </c>
      <c r="H10" s="10">
        <f t="shared" si="1"/>
        <v>420</v>
      </c>
      <c r="I10" s="11">
        <f t="shared" si="2"/>
        <v>380</v>
      </c>
      <c r="J10" s="10">
        <f>F10-D10</f>
        <v>120</v>
      </c>
      <c r="K10" s="11">
        <f>G10-D10</f>
        <v>80</v>
      </c>
      <c r="L10" s="10">
        <f t="shared" si="3"/>
        <v>120</v>
      </c>
      <c r="M10" s="11">
        <f t="shared" si="4"/>
        <v>80</v>
      </c>
    </row>
    <row r="11" spans="1:13" x14ac:dyDescent="0.3">
      <c r="A11" s="2" t="s">
        <v>21</v>
      </c>
      <c r="B11" s="2" t="s">
        <v>22</v>
      </c>
      <c r="C11" s="2">
        <v>5</v>
      </c>
      <c r="D11" s="3">
        <v>175</v>
      </c>
      <c r="E11" s="9">
        <f t="shared" si="0"/>
        <v>875</v>
      </c>
      <c r="F11" s="10">
        <v>295</v>
      </c>
      <c r="G11" s="11">
        <v>240</v>
      </c>
      <c r="H11" s="10">
        <f t="shared" si="1"/>
        <v>1475</v>
      </c>
      <c r="I11" s="11">
        <f t="shared" si="2"/>
        <v>1200</v>
      </c>
      <c r="J11" s="10">
        <f>F11-D11</f>
        <v>120</v>
      </c>
      <c r="K11" s="11">
        <f>G11-D11</f>
        <v>65</v>
      </c>
      <c r="L11" s="10">
        <f t="shared" si="3"/>
        <v>600</v>
      </c>
      <c r="M11" s="11">
        <f t="shared" si="4"/>
        <v>325</v>
      </c>
    </row>
    <row r="12" spans="1:13" x14ac:dyDescent="0.3">
      <c r="A12" s="2" t="s">
        <v>23</v>
      </c>
      <c r="B12" s="2" t="s">
        <v>24</v>
      </c>
      <c r="C12" s="2">
        <v>10</v>
      </c>
      <c r="D12" s="3">
        <v>95</v>
      </c>
      <c r="E12" s="9">
        <f t="shared" si="0"/>
        <v>950</v>
      </c>
      <c r="F12" s="10">
        <v>180</v>
      </c>
      <c r="G12" s="11">
        <v>150</v>
      </c>
      <c r="H12" s="10">
        <f t="shared" si="1"/>
        <v>1800</v>
      </c>
      <c r="I12" s="11">
        <f t="shared" si="2"/>
        <v>1500</v>
      </c>
      <c r="J12" s="10">
        <f>F12-D12</f>
        <v>85</v>
      </c>
      <c r="K12" s="11">
        <f>G12-D12</f>
        <v>55</v>
      </c>
      <c r="L12" s="10">
        <f t="shared" si="3"/>
        <v>850</v>
      </c>
      <c r="M12" s="11">
        <f t="shared" si="4"/>
        <v>550</v>
      </c>
    </row>
    <row r="13" spans="1:13" x14ac:dyDescent="0.3">
      <c r="A13" s="2" t="s">
        <v>23</v>
      </c>
      <c r="B13" s="2" t="s">
        <v>25</v>
      </c>
      <c r="C13" s="2">
        <v>10</v>
      </c>
      <c r="D13" s="3">
        <v>175</v>
      </c>
      <c r="E13" s="9">
        <f t="shared" si="0"/>
        <v>1750</v>
      </c>
      <c r="F13" s="10">
        <v>295</v>
      </c>
      <c r="G13" s="11">
        <v>250</v>
      </c>
      <c r="H13" s="10">
        <f t="shared" si="1"/>
        <v>2950</v>
      </c>
      <c r="I13" s="11">
        <f t="shared" si="2"/>
        <v>2500</v>
      </c>
      <c r="J13" s="10">
        <f>F13-D13</f>
        <v>120</v>
      </c>
      <c r="K13" s="11">
        <f>G13-D13</f>
        <v>75</v>
      </c>
      <c r="L13" s="10">
        <f t="shared" si="3"/>
        <v>1200</v>
      </c>
      <c r="M13" s="11">
        <f t="shared" si="4"/>
        <v>750</v>
      </c>
    </row>
    <row r="14" spans="1:13" x14ac:dyDescent="0.3">
      <c r="A14" s="2" t="s">
        <v>26</v>
      </c>
      <c r="B14" s="2" t="s">
        <v>27</v>
      </c>
      <c r="C14" s="2">
        <v>10</v>
      </c>
      <c r="D14" s="3">
        <v>80</v>
      </c>
      <c r="E14" s="9">
        <f t="shared" si="0"/>
        <v>800</v>
      </c>
      <c r="F14" s="10">
        <v>170</v>
      </c>
      <c r="G14" s="11">
        <v>150</v>
      </c>
      <c r="H14" s="10">
        <f t="shared" si="1"/>
        <v>1700</v>
      </c>
      <c r="I14" s="11">
        <f t="shared" si="2"/>
        <v>1500</v>
      </c>
      <c r="J14" s="10">
        <f>F14-D14</f>
        <v>90</v>
      </c>
      <c r="K14" s="11">
        <f>G14-D14</f>
        <v>70</v>
      </c>
      <c r="L14" s="10">
        <f t="shared" si="3"/>
        <v>900</v>
      </c>
      <c r="M14" s="11">
        <f t="shared" si="4"/>
        <v>700</v>
      </c>
    </row>
    <row r="15" spans="1:13" x14ac:dyDescent="0.3">
      <c r="A15" s="2" t="s">
        <v>28</v>
      </c>
      <c r="B15" s="2" t="s">
        <v>95</v>
      </c>
      <c r="C15" s="2">
        <v>25</v>
      </c>
      <c r="D15" s="3">
        <v>10</v>
      </c>
      <c r="E15" s="9">
        <f t="shared" si="0"/>
        <v>250</v>
      </c>
      <c r="F15" s="10">
        <v>50</v>
      </c>
      <c r="G15" s="11">
        <v>30</v>
      </c>
      <c r="H15" s="10">
        <f t="shared" si="1"/>
        <v>1250</v>
      </c>
      <c r="I15" s="11">
        <f t="shared" si="2"/>
        <v>750</v>
      </c>
      <c r="J15" s="10">
        <f>F15-D15</f>
        <v>40</v>
      </c>
      <c r="K15" s="11">
        <f>G15-D15</f>
        <v>20</v>
      </c>
      <c r="L15" s="10">
        <f t="shared" si="3"/>
        <v>1000</v>
      </c>
      <c r="M15" s="11">
        <f t="shared" si="4"/>
        <v>500</v>
      </c>
    </row>
    <row r="16" spans="1:13" x14ac:dyDescent="0.3">
      <c r="A16" s="2" t="s">
        <v>29</v>
      </c>
      <c r="B16" s="2" t="s">
        <v>30</v>
      </c>
      <c r="C16" s="2">
        <v>10</v>
      </c>
      <c r="D16" s="3">
        <v>150</v>
      </c>
      <c r="E16" s="9">
        <f t="shared" si="0"/>
        <v>1500</v>
      </c>
      <c r="F16" s="10">
        <v>250</v>
      </c>
      <c r="G16" s="11">
        <v>220</v>
      </c>
      <c r="H16" s="10">
        <f t="shared" si="1"/>
        <v>2500</v>
      </c>
      <c r="I16" s="11">
        <f t="shared" si="2"/>
        <v>2200</v>
      </c>
      <c r="J16" s="10">
        <f>F16-D16</f>
        <v>100</v>
      </c>
      <c r="K16" s="11">
        <f>G16-D16</f>
        <v>70</v>
      </c>
      <c r="L16" s="10">
        <f t="shared" si="3"/>
        <v>1000</v>
      </c>
      <c r="M16" s="11">
        <f t="shared" si="4"/>
        <v>700</v>
      </c>
    </row>
    <row r="17" spans="1:13" x14ac:dyDescent="0.3">
      <c r="A17" s="2" t="s">
        <v>31</v>
      </c>
      <c r="B17" s="2" t="s">
        <v>32</v>
      </c>
      <c r="C17" s="2">
        <v>10</v>
      </c>
      <c r="D17" s="3">
        <v>260</v>
      </c>
      <c r="E17" s="9">
        <f t="shared" si="0"/>
        <v>2600</v>
      </c>
      <c r="F17" s="10">
        <v>400</v>
      </c>
      <c r="G17" s="11">
        <v>350</v>
      </c>
      <c r="H17" s="10">
        <f t="shared" si="1"/>
        <v>4000</v>
      </c>
      <c r="I17" s="11">
        <f t="shared" si="2"/>
        <v>3500</v>
      </c>
      <c r="J17" s="10">
        <f>F17-D17</f>
        <v>140</v>
      </c>
      <c r="K17" s="11">
        <f>G17-D17</f>
        <v>90</v>
      </c>
      <c r="L17" s="10">
        <f t="shared" si="3"/>
        <v>1400</v>
      </c>
      <c r="M17" s="11">
        <f t="shared" si="4"/>
        <v>900</v>
      </c>
    </row>
    <row r="18" spans="1:13" x14ac:dyDescent="0.3">
      <c r="A18" s="2" t="s">
        <v>33</v>
      </c>
      <c r="B18" s="2" t="s">
        <v>34</v>
      </c>
      <c r="C18" s="2">
        <v>20</v>
      </c>
      <c r="D18" s="3">
        <v>800</v>
      </c>
      <c r="E18" s="9">
        <f t="shared" si="0"/>
        <v>16000</v>
      </c>
      <c r="F18" s="10">
        <v>950</v>
      </c>
      <c r="G18" s="11">
        <v>900</v>
      </c>
      <c r="H18" s="10">
        <f t="shared" si="1"/>
        <v>19000</v>
      </c>
      <c r="I18" s="11">
        <f t="shared" si="2"/>
        <v>18000</v>
      </c>
      <c r="J18" s="10">
        <f>F18-D18</f>
        <v>150</v>
      </c>
      <c r="K18" s="11">
        <f>G18-D18</f>
        <v>100</v>
      </c>
      <c r="L18" s="10">
        <f t="shared" si="3"/>
        <v>3000</v>
      </c>
      <c r="M18" s="11">
        <f t="shared" si="4"/>
        <v>2000</v>
      </c>
    </row>
    <row r="19" spans="1:13" x14ac:dyDescent="0.3">
      <c r="A19" s="2" t="s">
        <v>35</v>
      </c>
      <c r="B19" s="2" t="s">
        <v>36</v>
      </c>
      <c r="C19" s="2">
        <v>10</v>
      </c>
      <c r="D19" s="3">
        <v>720</v>
      </c>
      <c r="E19" s="9">
        <f t="shared" si="0"/>
        <v>7200</v>
      </c>
      <c r="F19" s="10">
        <v>850</v>
      </c>
      <c r="G19" s="11">
        <v>800</v>
      </c>
      <c r="H19" s="10">
        <f t="shared" si="1"/>
        <v>8500</v>
      </c>
      <c r="I19" s="11">
        <f t="shared" si="2"/>
        <v>8000</v>
      </c>
      <c r="J19" s="10">
        <f>F19-D19</f>
        <v>130</v>
      </c>
      <c r="K19" s="11">
        <f>G19-D19</f>
        <v>80</v>
      </c>
      <c r="L19" s="10">
        <f t="shared" si="3"/>
        <v>1300</v>
      </c>
      <c r="M19" s="11">
        <f t="shared" si="4"/>
        <v>800</v>
      </c>
    </row>
    <row r="20" spans="1:13" x14ac:dyDescent="0.3">
      <c r="A20" s="2" t="s">
        <v>37</v>
      </c>
      <c r="B20" s="2" t="s">
        <v>38</v>
      </c>
      <c r="C20" s="2">
        <v>10</v>
      </c>
      <c r="D20" s="3">
        <v>900</v>
      </c>
      <c r="E20" s="9">
        <f t="shared" si="0"/>
        <v>9000</v>
      </c>
      <c r="F20" s="10">
        <v>1100</v>
      </c>
      <c r="G20" s="11">
        <v>1000</v>
      </c>
      <c r="H20" s="10">
        <f t="shared" si="1"/>
        <v>11000</v>
      </c>
      <c r="I20" s="11">
        <f t="shared" si="2"/>
        <v>10000</v>
      </c>
      <c r="J20" s="10">
        <f>F20-D20</f>
        <v>200</v>
      </c>
      <c r="K20" s="11">
        <f>G20-D20</f>
        <v>100</v>
      </c>
      <c r="L20" s="10">
        <f t="shared" si="3"/>
        <v>2000</v>
      </c>
      <c r="M20" s="11">
        <f t="shared" si="4"/>
        <v>1000</v>
      </c>
    </row>
    <row r="21" spans="1:13" x14ac:dyDescent="0.3">
      <c r="A21" s="2" t="s">
        <v>39</v>
      </c>
      <c r="B21" s="2" t="s">
        <v>40</v>
      </c>
      <c r="C21" s="2">
        <v>10</v>
      </c>
      <c r="D21" s="3">
        <v>160</v>
      </c>
      <c r="E21" s="9">
        <f t="shared" si="0"/>
        <v>1600</v>
      </c>
      <c r="F21" s="10">
        <v>250</v>
      </c>
      <c r="G21" s="11">
        <v>220</v>
      </c>
      <c r="H21" s="10">
        <f t="shared" si="1"/>
        <v>2500</v>
      </c>
      <c r="I21" s="11">
        <f t="shared" si="2"/>
        <v>2200</v>
      </c>
      <c r="J21" s="10">
        <f>F21-D21</f>
        <v>90</v>
      </c>
      <c r="K21" s="11">
        <f>G21-D21</f>
        <v>60</v>
      </c>
      <c r="L21" s="10">
        <f t="shared" si="3"/>
        <v>900</v>
      </c>
      <c r="M21" s="11">
        <f t="shared" si="4"/>
        <v>600</v>
      </c>
    </row>
    <row r="22" spans="1:13" x14ac:dyDescent="0.3">
      <c r="A22" s="2" t="s">
        <v>41</v>
      </c>
      <c r="B22" s="2" t="s">
        <v>42</v>
      </c>
      <c r="C22" s="2">
        <v>10</v>
      </c>
      <c r="D22" s="3">
        <v>160</v>
      </c>
      <c r="E22" s="9">
        <f t="shared" si="0"/>
        <v>1600</v>
      </c>
      <c r="F22" s="10">
        <v>250</v>
      </c>
      <c r="G22" s="11">
        <v>220</v>
      </c>
      <c r="H22" s="10">
        <f t="shared" si="1"/>
        <v>2500</v>
      </c>
      <c r="I22" s="11">
        <f t="shared" si="2"/>
        <v>2200</v>
      </c>
      <c r="J22" s="10">
        <f>F22-D22</f>
        <v>90</v>
      </c>
      <c r="K22" s="11">
        <f>G22-D22</f>
        <v>60</v>
      </c>
      <c r="L22" s="10">
        <f t="shared" si="3"/>
        <v>900</v>
      </c>
      <c r="M22" s="11">
        <f t="shared" si="4"/>
        <v>600</v>
      </c>
    </row>
    <row r="23" spans="1:13" x14ac:dyDescent="0.3">
      <c r="A23" s="2" t="s">
        <v>43</v>
      </c>
      <c r="B23" s="2" t="s">
        <v>44</v>
      </c>
      <c r="C23" s="2">
        <v>15</v>
      </c>
      <c r="D23" s="3">
        <v>160</v>
      </c>
      <c r="E23" s="9">
        <f t="shared" si="0"/>
        <v>2400</v>
      </c>
      <c r="F23" s="10">
        <v>250</v>
      </c>
      <c r="G23" s="11">
        <v>220</v>
      </c>
      <c r="H23" s="10">
        <f t="shared" si="1"/>
        <v>3750</v>
      </c>
      <c r="I23" s="11">
        <f t="shared" si="2"/>
        <v>3300</v>
      </c>
      <c r="J23" s="10">
        <f>F23-D23</f>
        <v>90</v>
      </c>
      <c r="K23" s="11">
        <f>G23-D23</f>
        <v>60</v>
      </c>
      <c r="L23" s="10">
        <f t="shared" si="3"/>
        <v>1350</v>
      </c>
      <c r="M23" s="11">
        <f t="shared" si="4"/>
        <v>900</v>
      </c>
    </row>
    <row r="24" spans="1:13" x14ac:dyDescent="0.3">
      <c r="A24" s="2" t="s">
        <v>45</v>
      </c>
      <c r="B24" s="2" t="s">
        <v>46</v>
      </c>
      <c r="C24" s="2">
        <v>15</v>
      </c>
      <c r="D24" s="3">
        <v>160</v>
      </c>
      <c r="E24" s="9">
        <f t="shared" si="0"/>
        <v>2400</v>
      </c>
      <c r="F24" s="10">
        <v>250</v>
      </c>
      <c r="G24" s="11">
        <v>220</v>
      </c>
      <c r="H24" s="10">
        <f t="shared" si="1"/>
        <v>3750</v>
      </c>
      <c r="I24" s="11">
        <f t="shared" si="2"/>
        <v>3300</v>
      </c>
      <c r="J24" s="10">
        <f>F24-D24</f>
        <v>90</v>
      </c>
      <c r="K24" s="11">
        <f>G24-D24</f>
        <v>60</v>
      </c>
      <c r="L24" s="10">
        <f t="shared" si="3"/>
        <v>1350</v>
      </c>
      <c r="M24" s="11">
        <f t="shared" si="4"/>
        <v>900</v>
      </c>
    </row>
    <row r="25" spans="1:13" x14ac:dyDescent="0.3">
      <c r="A25" s="2" t="s">
        <v>47</v>
      </c>
      <c r="B25" s="2" t="s">
        <v>48</v>
      </c>
      <c r="C25" s="2">
        <v>15</v>
      </c>
      <c r="D25" s="3">
        <v>160</v>
      </c>
      <c r="E25" s="9">
        <f t="shared" si="0"/>
        <v>2400</v>
      </c>
      <c r="F25" s="10">
        <v>250</v>
      </c>
      <c r="G25" s="11">
        <v>220</v>
      </c>
      <c r="H25" s="10">
        <f t="shared" si="1"/>
        <v>3750</v>
      </c>
      <c r="I25" s="11">
        <f t="shared" si="2"/>
        <v>3300</v>
      </c>
      <c r="J25" s="10">
        <f>F25-D25</f>
        <v>90</v>
      </c>
      <c r="K25" s="11">
        <f>G25-D25</f>
        <v>60</v>
      </c>
      <c r="L25" s="10">
        <f t="shared" si="3"/>
        <v>1350</v>
      </c>
      <c r="M25" s="11">
        <f t="shared" si="4"/>
        <v>900</v>
      </c>
    </row>
    <row r="26" spans="1:13" x14ac:dyDescent="0.3">
      <c r="A26" s="2" t="s">
        <v>49</v>
      </c>
      <c r="B26" s="2" t="s">
        <v>50</v>
      </c>
      <c r="C26" s="2">
        <v>10</v>
      </c>
      <c r="D26" s="3">
        <v>160</v>
      </c>
      <c r="E26" s="9">
        <f t="shared" si="0"/>
        <v>1600</v>
      </c>
      <c r="F26" s="10">
        <v>250</v>
      </c>
      <c r="G26" s="11">
        <v>220</v>
      </c>
      <c r="H26" s="10">
        <f t="shared" si="1"/>
        <v>2500</v>
      </c>
      <c r="I26" s="11">
        <f t="shared" si="2"/>
        <v>2200</v>
      </c>
      <c r="J26" s="10">
        <f>F26-D26</f>
        <v>90</v>
      </c>
      <c r="K26" s="11">
        <f>G26-D26</f>
        <v>60</v>
      </c>
      <c r="L26" s="10">
        <f t="shared" si="3"/>
        <v>900</v>
      </c>
      <c r="M26" s="11">
        <f t="shared" si="4"/>
        <v>600</v>
      </c>
    </row>
    <row r="27" spans="1:13" x14ac:dyDescent="0.3">
      <c r="A27" s="2" t="s">
        <v>51</v>
      </c>
      <c r="B27" s="2" t="s">
        <v>52</v>
      </c>
      <c r="C27" s="2">
        <v>10</v>
      </c>
      <c r="D27" s="3">
        <v>160</v>
      </c>
      <c r="E27" s="9">
        <f t="shared" si="0"/>
        <v>1600</v>
      </c>
      <c r="F27" s="10">
        <v>250</v>
      </c>
      <c r="G27" s="11">
        <v>220</v>
      </c>
      <c r="H27" s="10">
        <f t="shared" si="1"/>
        <v>2500</v>
      </c>
      <c r="I27" s="11">
        <f t="shared" si="2"/>
        <v>2200</v>
      </c>
      <c r="J27" s="10">
        <f>F27-D27</f>
        <v>90</v>
      </c>
      <c r="K27" s="11">
        <f>G27-D27</f>
        <v>60</v>
      </c>
      <c r="L27" s="10">
        <f t="shared" si="3"/>
        <v>900</v>
      </c>
      <c r="M27" s="11">
        <f t="shared" si="4"/>
        <v>600</v>
      </c>
    </row>
    <row r="28" spans="1:13" x14ac:dyDescent="0.3">
      <c r="A28" s="2" t="s">
        <v>53</v>
      </c>
      <c r="B28" s="2" t="s">
        <v>54</v>
      </c>
      <c r="C28" s="2">
        <v>20</v>
      </c>
      <c r="D28" s="3">
        <v>220</v>
      </c>
      <c r="E28" s="9">
        <f t="shared" si="0"/>
        <v>4400</v>
      </c>
      <c r="F28" s="10">
        <v>300</v>
      </c>
      <c r="G28" s="11">
        <v>280</v>
      </c>
      <c r="H28" s="10">
        <f t="shared" si="1"/>
        <v>6000</v>
      </c>
      <c r="I28" s="11">
        <f t="shared" si="2"/>
        <v>5600</v>
      </c>
      <c r="J28" s="10">
        <f>F28-D28</f>
        <v>80</v>
      </c>
      <c r="K28" s="11">
        <f>G28-D28</f>
        <v>60</v>
      </c>
      <c r="L28" s="10">
        <f t="shared" si="3"/>
        <v>1600</v>
      </c>
      <c r="M28" s="11">
        <f t="shared" si="4"/>
        <v>1200</v>
      </c>
    </row>
    <row r="29" spans="1:13" x14ac:dyDescent="0.3">
      <c r="A29" s="2" t="s">
        <v>55</v>
      </c>
      <c r="B29" s="2" t="s">
        <v>56</v>
      </c>
      <c r="C29" s="2">
        <v>3</v>
      </c>
      <c r="D29" s="3">
        <v>560</v>
      </c>
      <c r="E29" s="9">
        <f t="shared" si="0"/>
        <v>1680</v>
      </c>
      <c r="F29" s="10">
        <v>900</v>
      </c>
      <c r="G29" s="11">
        <v>800</v>
      </c>
      <c r="H29" s="10">
        <f t="shared" si="1"/>
        <v>2700</v>
      </c>
      <c r="I29" s="11">
        <f t="shared" si="2"/>
        <v>2400</v>
      </c>
      <c r="J29" s="10">
        <f>F29-D29</f>
        <v>340</v>
      </c>
      <c r="K29" s="11">
        <f>G29-D29</f>
        <v>240</v>
      </c>
      <c r="L29" s="10">
        <f t="shared" si="3"/>
        <v>1020</v>
      </c>
      <c r="M29" s="11">
        <f t="shared" si="4"/>
        <v>720</v>
      </c>
    </row>
    <row r="30" spans="1:13" x14ac:dyDescent="0.3">
      <c r="A30" s="2" t="s">
        <v>57</v>
      </c>
      <c r="B30" s="2" t="s">
        <v>58</v>
      </c>
      <c r="C30" s="2">
        <v>5</v>
      </c>
      <c r="D30" s="3">
        <v>520</v>
      </c>
      <c r="E30" s="9">
        <f t="shared" si="0"/>
        <v>2600</v>
      </c>
      <c r="F30" s="10">
        <v>850</v>
      </c>
      <c r="G30" s="11">
        <v>750</v>
      </c>
      <c r="H30" s="10">
        <f t="shared" si="1"/>
        <v>4250</v>
      </c>
      <c r="I30" s="11">
        <f t="shared" si="2"/>
        <v>3750</v>
      </c>
      <c r="J30" s="10">
        <f>F30-D30</f>
        <v>330</v>
      </c>
      <c r="K30" s="11">
        <f>G30-D30</f>
        <v>230</v>
      </c>
      <c r="L30" s="10">
        <f t="shared" si="3"/>
        <v>1650</v>
      </c>
      <c r="M30" s="11">
        <f t="shared" si="4"/>
        <v>1150</v>
      </c>
    </row>
    <row r="31" spans="1:13" x14ac:dyDescent="0.3">
      <c r="A31" s="2" t="s">
        <v>59</v>
      </c>
      <c r="B31" s="2" t="s">
        <v>60</v>
      </c>
      <c r="C31" s="2">
        <v>10</v>
      </c>
      <c r="D31" s="3">
        <v>170</v>
      </c>
      <c r="E31" s="9">
        <f t="shared" si="0"/>
        <v>1700</v>
      </c>
      <c r="F31" s="10">
        <v>280</v>
      </c>
      <c r="G31" s="11">
        <v>250</v>
      </c>
      <c r="H31" s="10">
        <f t="shared" si="1"/>
        <v>2800</v>
      </c>
      <c r="I31" s="11">
        <f t="shared" si="2"/>
        <v>2500</v>
      </c>
      <c r="J31" s="10">
        <f>F31-D31</f>
        <v>110</v>
      </c>
      <c r="K31" s="11">
        <f>G31-D31</f>
        <v>80</v>
      </c>
      <c r="L31" s="10">
        <f t="shared" si="3"/>
        <v>1100</v>
      </c>
      <c r="M31" s="11">
        <f t="shared" si="4"/>
        <v>800</v>
      </c>
    </row>
    <row r="32" spans="1:13" x14ac:dyDescent="0.3">
      <c r="A32" s="2" t="s">
        <v>61</v>
      </c>
      <c r="B32" s="2" t="s">
        <v>62</v>
      </c>
      <c r="C32" s="2">
        <v>10</v>
      </c>
      <c r="D32" s="3">
        <v>300</v>
      </c>
      <c r="E32" s="9">
        <f t="shared" si="0"/>
        <v>3000</v>
      </c>
      <c r="F32" s="10">
        <v>420</v>
      </c>
      <c r="G32" s="11">
        <v>400</v>
      </c>
      <c r="H32" s="10">
        <f t="shared" si="1"/>
        <v>4200</v>
      </c>
      <c r="I32" s="11">
        <f t="shared" si="2"/>
        <v>4000</v>
      </c>
      <c r="J32" s="10">
        <f>F32-D32</f>
        <v>120</v>
      </c>
      <c r="K32" s="11">
        <f>G32-D32</f>
        <v>100</v>
      </c>
      <c r="L32" s="10">
        <f t="shared" si="3"/>
        <v>1200</v>
      </c>
      <c r="M32" s="11">
        <f t="shared" si="4"/>
        <v>1000</v>
      </c>
    </row>
    <row r="33" spans="1:13" x14ac:dyDescent="0.3">
      <c r="A33" s="2" t="s">
        <v>63</v>
      </c>
      <c r="B33" s="2" t="s">
        <v>64</v>
      </c>
      <c r="C33" s="2">
        <v>25</v>
      </c>
      <c r="D33" s="3">
        <v>55</v>
      </c>
      <c r="E33" s="9">
        <f t="shared" si="0"/>
        <v>1375</v>
      </c>
      <c r="F33" s="10">
        <v>175</v>
      </c>
      <c r="G33" s="11">
        <v>150</v>
      </c>
      <c r="H33" s="10">
        <f t="shared" si="1"/>
        <v>4375</v>
      </c>
      <c r="I33" s="11">
        <f t="shared" si="2"/>
        <v>3750</v>
      </c>
      <c r="J33" s="10">
        <f>F33-D33</f>
        <v>120</v>
      </c>
      <c r="K33" s="11">
        <f>G33-D33</f>
        <v>95</v>
      </c>
      <c r="L33" s="10">
        <f t="shared" si="3"/>
        <v>3000</v>
      </c>
      <c r="M33" s="11">
        <f t="shared" si="4"/>
        <v>2375</v>
      </c>
    </row>
    <row r="34" spans="1:13" x14ac:dyDescent="0.3">
      <c r="A34" s="2" t="s">
        <v>65</v>
      </c>
      <c r="B34" s="2" t="s">
        <v>89</v>
      </c>
      <c r="C34" s="2">
        <v>5</v>
      </c>
      <c r="D34" s="3">
        <v>250</v>
      </c>
      <c r="E34" s="9">
        <f t="shared" si="0"/>
        <v>1250</v>
      </c>
      <c r="F34" s="10">
        <v>550</v>
      </c>
      <c r="G34" s="11">
        <v>500</v>
      </c>
      <c r="H34" s="10">
        <f t="shared" si="1"/>
        <v>2750</v>
      </c>
      <c r="I34" s="11">
        <f t="shared" si="2"/>
        <v>2500</v>
      </c>
      <c r="J34" s="10">
        <f>F34-D34</f>
        <v>300</v>
      </c>
      <c r="K34" s="11">
        <f>G34-D34</f>
        <v>250</v>
      </c>
      <c r="L34" s="10">
        <f t="shared" si="3"/>
        <v>1500</v>
      </c>
      <c r="M34" s="11">
        <f t="shared" si="4"/>
        <v>1250</v>
      </c>
    </row>
    <row r="35" spans="1:13" x14ac:dyDescent="0.3">
      <c r="A35" s="2" t="s">
        <v>66</v>
      </c>
      <c r="B35" s="2" t="s">
        <v>90</v>
      </c>
      <c r="C35" s="2">
        <v>5</v>
      </c>
      <c r="D35" s="3">
        <v>100</v>
      </c>
      <c r="E35" s="9">
        <f t="shared" si="0"/>
        <v>500</v>
      </c>
      <c r="F35" s="10">
        <v>250</v>
      </c>
      <c r="G35" s="11">
        <v>200</v>
      </c>
      <c r="H35" s="10">
        <f t="shared" si="1"/>
        <v>1250</v>
      </c>
      <c r="I35" s="11">
        <f t="shared" si="2"/>
        <v>1000</v>
      </c>
      <c r="J35" s="10">
        <f>F35-D35</f>
        <v>150</v>
      </c>
      <c r="K35" s="11">
        <f>G35-D35</f>
        <v>100</v>
      </c>
      <c r="L35" s="10">
        <f t="shared" si="3"/>
        <v>750</v>
      </c>
      <c r="M35" s="11">
        <f t="shared" si="4"/>
        <v>500</v>
      </c>
    </row>
    <row r="36" spans="1:13" x14ac:dyDescent="0.3">
      <c r="A36" s="7" t="s">
        <v>67</v>
      </c>
      <c r="B36" s="7" t="s">
        <v>91</v>
      </c>
      <c r="C36" s="7">
        <v>1</v>
      </c>
      <c r="D36" s="8">
        <v>3000</v>
      </c>
      <c r="E36" s="9">
        <f t="shared" si="0"/>
        <v>3000</v>
      </c>
      <c r="F36" s="10">
        <v>5000</v>
      </c>
      <c r="G36" s="11">
        <v>4500</v>
      </c>
      <c r="H36" s="10">
        <f t="shared" si="1"/>
        <v>5000</v>
      </c>
      <c r="I36" s="11">
        <f t="shared" si="2"/>
        <v>4500</v>
      </c>
      <c r="J36" s="10">
        <f>F36-D36</f>
        <v>2000</v>
      </c>
      <c r="K36" s="11">
        <f>G36-D36</f>
        <v>1500</v>
      </c>
      <c r="L36" s="10">
        <f t="shared" si="3"/>
        <v>2000</v>
      </c>
      <c r="M36" s="11">
        <f t="shared" si="4"/>
        <v>1500</v>
      </c>
    </row>
    <row r="37" spans="1:13" s="5" customFormat="1" x14ac:dyDescent="0.3">
      <c r="A37" s="2" t="s">
        <v>68</v>
      </c>
      <c r="B37" s="2" t="s">
        <v>92</v>
      </c>
      <c r="C37" s="2">
        <v>2</v>
      </c>
      <c r="D37" s="3">
        <v>60</v>
      </c>
      <c r="E37" s="9">
        <f t="shared" si="0"/>
        <v>120</v>
      </c>
      <c r="F37" s="10">
        <v>150</v>
      </c>
      <c r="G37" s="11">
        <v>120</v>
      </c>
      <c r="H37" s="10">
        <f t="shared" si="1"/>
        <v>300</v>
      </c>
      <c r="I37" s="11">
        <f t="shared" si="2"/>
        <v>240</v>
      </c>
      <c r="J37" s="10">
        <f>F37-D37</f>
        <v>90</v>
      </c>
      <c r="K37" s="11">
        <f>G37-D37</f>
        <v>60</v>
      </c>
      <c r="L37" s="10">
        <f t="shared" si="3"/>
        <v>180</v>
      </c>
      <c r="M37" s="11">
        <f t="shared" si="4"/>
        <v>120</v>
      </c>
    </row>
    <row r="38" spans="1:13" s="5" customFormat="1" x14ac:dyDescent="0.3">
      <c r="A38" s="2" t="s">
        <v>68</v>
      </c>
      <c r="B38" s="2" t="s">
        <v>93</v>
      </c>
      <c r="C38" s="2">
        <v>5</v>
      </c>
      <c r="D38" s="3">
        <v>80</v>
      </c>
      <c r="E38" s="9">
        <f t="shared" si="0"/>
        <v>400</v>
      </c>
      <c r="F38" s="10">
        <v>170</v>
      </c>
      <c r="G38" s="11">
        <v>150</v>
      </c>
      <c r="H38" s="10">
        <f t="shared" si="1"/>
        <v>850</v>
      </c>
      <c r="I38" s="11">
        <f t="shared" si="2"/>
        <v>750</v>
      </c>
      <c r="J38" s="10">
        <f>F38-D38</f>
        <v>90</v>
      </c>
      <c r="K38" s="11">
        <f>G38-D38</f>
        <v>70</v>
      </c>
      <c r="L38" s="10">
        <f t="shared" si="3"/>
        <v>450</v>
      </c>
      <c r="M38" s="11">
        <f t="shared" si="4"/>
        <v>350</v>
      </c>
    </row>
    <row r="39" spans="1:13" s="5" customFormat="1" x14ac:dyDescent="0.3">
      <c r="A39" s="2" t="s">
        <v>68</v>
      </c>
      <c r="B39" s="2" t="s">
        <v>94</v>
      </c>
      <c r="C39" s="2">
        <v>5</v>
      </c>
      <c r="D39" s="3">
        <v>100</v>
      </c>
      <c r="E39" s="9">
        <f t="shared" si="0"/>
        <v>500</v>
      </c>
      <c r="F39" s="10">
        <v>230</v>
      </c>
      <c r="G39" s="11">
        <v>180</v>
      </c>
      <c r="H39" s="10">
        <f t="shared" si="1"/>
        <v>1150</v>
      </c>
      <c r="I39" s="11">
        <f t="shared" si="2"/>
        <v>900</v>
      </c>
      <c r="J39" s="10">
        <f>F39-D39</f>
        <v>130</v>
      </c>
      <c r="K39" s="11">
        <f>G39-D39</f>
        <v>80</v>
      </c>
      <c r="L39" s="10">
        <f t="shared" si="3"/>
        <v>650</v>
      </c>
      <c r="M39" s="11">
        <f t="shared" si="4"/>
        <v>400</v>
      </c>
    </row>
    <row r="40" spans="1:13" s="5" customFormat="1" x14ac:dyDescent="0.3">
      <c r="A40" s="2" t="s">
        <v>68</v>
      </c>
      <c r="B40" s="2" t="s">
        <v>96</v>
      </c>
      <c r="C40" s="2">
        <v>3</v>
      </c>
      <c r="D40" s="3">
        <v>150</v>
      </c>
      <c r="E40" s="9">
        <f t="shared" si="0"/>
        <v>450</v>
      </c>
      <c r="F40" s="10">
        <v>300</v>
      </c>
      <c r="G40" s="11">
        <v>250</v>
      </c>
      <c r="H40" s="10">
        <f t="shared" si="1"/>
        <v>900</v>
      </c>
      <c r="I40" s="11">
        <f t="shared" si="2"/>
        <v>750</v>
      </c>
      <c r="J40" s="10">
        <f>F40-D40</f>
        <v>150</v>
      </c>
      <c r="K40" s="11">
        <f>G40-D40</f>
        <v>100</v>
      </c>
      <c r="L40" s="10">
        <f t="shared" si="3"/>
        <v>450</v>
      </c>
      <c r="M40" s="11">
        <f t="shared" si="4"/>
        <v>300</v>
      </c>
    </row>
    <row r="41" spans="1:13" s="5" customFormat="1" x14ac:dyDescent="0.3">
      <c r="A41" s="2" t="s">
        <v>68</v>
      </c>
      <c r="B41" s="2" t="s">
        <v>97</v>
      </c>
      <c r="C41" s="2">
        <v>5</v>
      </c>
      <c r="D41" s="3">
        <v>100</v>
      </c>
      <c r="E41" s="9">
        <f t="shared" si="0"/>
        <v>500</v>
      </c>
      <c r="F41" s="10">
        <v>170</v>
      </c>
      <c r="G41" s="11">
        <v>150</v>
      </c>
      <c r="H41" s="10">
        <f t="shared" si="1"/>
        <v>850</v>
      </c>
      <c r="I41" s="11">
        <f t="shared" si="2"/>
        <v>750</v>
      </c>
      <c r="J41" s="10">
        <f>F41-D41</f>
        <v>70</v>
      </c>
      <c r="K41" s="11">
        <f>G41-D41</f>
        <v>50</v>
      </c>
      <c r="L41" s="10">
        <f t="shared" si="3"/>
        <v>350</v>
      </c>
      <c r="M41" s="11">
        <f t="shared" si="4"/>
        <v>250</v>
      </c>
    </row>
    <row r="42" spans="1:13" s="5" customFormat="1" x14ac:dyDescent="0.3">
      <c r="A42" s="2" t="s">
        <v>68</v>
      </c>
      <c r="B42" s="2" t="s">
        <v>98</v>
      </c>
      <c r="C42" s="2">
        <v>5</v>
      </c>
      <c r="D42" s="3">
        <v>130</v>
      </c>
      <c r="E42" s="9">
        <f t="shared" si="0"/>
        <v>650</v>
      </c>
      <c r="F42" s="10">
        <v>200</v>
      </c>
      <c r="G42" s="11">
        <v>170</v>
      </c>
      <c r="H42" s="10">
        <f t="shared" si="1"/>
        <v>1000</v>
      </c>
      <c r="I42" s="11">
        <f t="shared" si="2"/>
        <v>850</v>
      </c>
      <c r="J42" s="10">
        <f>F42-D42</f>
        <v>70</v>
      </c>
      <c r="K42" s="11">
        <f>G42-D42</f>
        <v>40</v>
      </c>
      <c r="L42" s="10">
        <f t="shared" si="3"/>
        <v>350</v>
      </c>
      <c r="M42" s="11">
        <f t="shared" si="4"/>
        <v>200</v>
      </c>
    </row>
    <row r="43" spans="1:13" x14ac:dyDescent="0.3">
      <c r="A43" s="2" t="s">
        <v>68</v>
      </c>
      <c r="B43" s="2" t="s">
        <v>99</v>
      </c>
      <c r="C43" s="2">
        <v>5</v>
      </c>
      <c r="D43" s="3">
        <v>180</v>
      </c>
      <c r="E43" s="9">
        <f t="shared" si="0"/>
        <v>900</v>
      </c>
      <c r="F43" s="10">
        <v>250</v>
      </c>
      <c r="G43" s="11">
        <v>230</v>
      </c>
      <c r="H43" s="10">
        <f t="shared" si="1"/>
        <v>1250</v>
      </c>
      <c r="I43" s="11">
        <f t="shared" si="2"/>
        <v>1150</v>
      </c>
      <c r="J43" s="10">
        <f>F43-D43</f>
        <v>70</v>
      </c>
      <c r="K43" s="11">
        <f>G43-D43</f>
        <v>50</v>
      </c>
      <c r="L43" s="10">
        <f t="shared" si="3"/>
        <v>350</v>
      </c>
      <c r="M43" s="11">
        <f t="shared" si="4"/>
        <v>250</v>
      </c>
    </row>
    <row r="44" spans="1:13" s="5" customFormat="1" x14ac:dyDescent="0.3">
      <c r="A44" s="2" t="s">
        <v>68</v>
      </c>
      <c r="B44" s="2" t="s">
        <v>100</v>
      </c>
      <c r="C44" s="2">
        <v>3</v>
      </c>
      <c r="D44" s="3">
        <v>200</v>
      </c>
      <c r="E44" s="9">
        <f t="shared" si="0"/>
        <v>600</v>
      </c>
      <c r="F44" s="10">
        <v>300</v>
      </c>
      <c r="G44" s="11">
        <v>270</v>
      </c>
      <c r="H44" s="10">
        <f t="shared" si="1"/>
        <v>900</v>
      </c>
      <c r="I44" s="11">
        <f t="shared" si="2"/>
        <v>810</v>
      </c>
      <c r="J44" s="10">
        <f t="shared" ref="J44" si="5">F44-D44</f>
        <v>100</v>
      </c>
      <c r="K44" s="11">
        <f t="shared" ref="K44" si="6">G44-D44</f>
        <v>70</v>
      </c>
      <c r="L44" s="10">
        <f t="shared" si="3"/>
        <v>300</v>
      </c>
      <c r="M44" s="11">
        <f t="shared" si="4"/>
        <v>210</v>
      </c>
    </row>
    <row r="45" spans="1:13" s="5" customFormat="1" x14ac:dyDescent="0.3">
      <c r="A45" s="2" t="s">
        <v>68</v>
      </c>
      <c r="B45" s="2" t="s">
        <v>101</v>
      </c>
      <c r="C45" s="2">
        <v>3</v>
      </c>
      <c r="D45" s="3">
        <v>230</v>
      </c>
      <c r="E45" s="9">
        <f t="shared" si="0"/>
        <v>690</v>
      </c>
      <c r="F45" s="10">
        <v>350</v>
      </c>
      <c r="G45" s="11">
        <v>300</v>
      </c>
      <c r="H45" s="10">
        <f t="shared" si="1"/>
        <v>1050</v>
      </c>
      <c r="I45" s="11">
        <f t="shared" si="2"/>
        <v>900</v>
      </c>
      <c r="J45" s="10">
        <f t="shared" ref="J45" si="7">F45-D45</f>
        <v>120</v>
      </c>
      <c r="K45" s="11">
        <f t="shared" ref="K45" si="8">G45-D45</f>
        <v>70</v>
      </c>
      <c r="L45" s="10">
        <f t="shared" si="3"/>
        <v>360</v>
      </c>
      <c r="M45" s="11">
        <f t="shared" si="4"/>
        <v>210</v>
      </c>
    </row>
    <row r="46" spans="1:13" x14ac:dyDescent="0.3">
      <c r="A46" s="2" t="s">
        <v>69</v>
      </c>
      <c r="B46" s="2" t="s">
        <v>102</v>
      </c>
      <c r="C46" s="2">
        <v>26</v>
      </c>
      <c r="D46" s="3">
        <v>13</v>
      </c>
      <c r="E46" s="9">
        <f t="shared" si="0"/>
        <v>338</v>
      </c>
      <c r="F46" s="10">
        <v>50</v>
      </c>
      <c r="G46" s="11">
        <v>40</v>
      </c>
      <c r="H46" s="10">
        <f t="shared" si="1"/>
        <v>1300</v>
      </c>
      <c r="I46" s="11">
        <f t="shared" si="2"/>
        <v>1040</v>
      </c>
      <c r="J46" s="10">
        <f>F46-D46</f>
        <v>37</v>
      </c>
      <c r="K46" s="11">
        <f>G46-D46</f>
        <v>27</v>
      </c>
      <c r="L46" s="10">
        <f t="shared" si="3"/>
        <v>962</v>
      </c>
      <c r="M46" s="11">
        <f t="shared" si="4"/>
        <v>702</v>
      </c>
    </row>
    <row r="47" spans="1:13" x14ac:dyDescent="0.3">
      <c r="A47" s="2" t="s">
        <v>70</v>
      </c>
      <c r="B47" s="2" t="s">
        <v>103</v>
      </c>
      <c r="C47" s="2">
        <v>20</v>
      </c>
      <c r="D47" s="3">
        <v>18</v>
      </c>
      <c r="E47" s="9">
        <f t="shared" si="0"/>
        <v>360</v>
      </c>
      <c r="F47" s="10">
        <v>50</v>
      </c>
      <c r="G47" s="11">
        <v>40</v>
      </c>
      <c r="H47" s="10">
        <f t="shared" si="1"/>
        <v>1000</v>
      </c>
      <c r="I47" s="11">
        <f t="shared" si="2"/>
        <v>800</v>
      </c>
      <c r="J47" s="10">
        <f>F47-D47</f>
        <v>32</v>
      </c>
      <c r="K47" s="11">
        <f>G47-D47</f>
        <v>22</v>
      </c>
      <c r="L47" s="10">
        <f t="shared" si="3"/>
        <v>640</v>
      </c>
      <c r="M47" s="11">
        <f t="shared" si="4"/>
        <v>440</v>
      </c>
    </row>
    <row r="48" spans="1:13" x14ac:dyDescent="0.3">
      <c r="A48" s="2" t="s">
        <v>71</v>
      </c>
      <c r="B48" s="2" t="s">
        <v>72</v>
      </c>
      <c r="C48" s="2">
        <v>10</v>
      </c>
      <c r="D48" s="3">
        <v>70</v>
      </c>
      <c r="E48" s="9">
        <f t="shared" si="0"/>
        <v>700</v>
      </c>
      <c r="F48" s="10">
        <v>120</v>
      </c>
      <c r="G48" s="11">
        <v>100</v>
      </c>
      <c r="H48" s="10">
        <f t="shared" si="1"/>
        <v>1200</v>
      </c>
      <c r="I48" s="11">
        <f t="shared" si="2"/>
        <v>1000</v>
      </c>
      <c r="J48" s="10">
        <f>F48-D48</f>
        <v>50</v>
      </c>
      <c r="K48" s="11">
        <f>G48-D48</f>
        <v>30</v>
      </c>
      <c r="L48" s="10">
        <f t="shared" si="3"/>
        <v>500</v>
      </c>
      <c r="M48" s="11">
        <f t="shared" si="4"/>
        <v>300</v>
      </c>
    </row>
    <row r="49" spans="1:13" x14ac:dyDescent="0.3">
      <c r="A49" s="2" t="s">
        <v>73</v>
      </c>
      <c r="B49" s="2" t="s">
        <v>104</v>
      </c>
      <c r="C49" s="2">
        <v>10</v>
      </c>
      <c r="D49" s="3">
        <v>50</v>
      </c>
      <c r="E49" s="9">
        <f t="shared" si="0"/>
        <v>500</v>
      </c>
      <c r="F49" s="10">
        <v>100</v>
      </c>
      <c r="G49" s="11">
        <v>85</v>
      </c>
      <c r="H49" s="10">
        <f t="shared" si="1"/>
        <v>1000</v>
      </c>
      <c r="I49" s="11">
        <f t="shared" si="2"/>
        <v>850</v>
      </c>
      <c r="J49" s="10">
        <f>F49-D49</f>
        <v>50</v>
      </c>
      <c r="K49" s="11">
        <f>G49-D49</f>
        <v>35</v>
      </c>
      <c r="L49" s="10">
        <f t="shared" si="3"/>
        <v>500</v>
      </c>
      <c r="M49" s="11">
        <f t="shared" si="4"/>
        <v>350</v>
      </c>
    </row>
    <row r="50" spans="1:13" x14ac:dyDescent="0.3">
      <c r="A50" s="2" t="s">
        <v>74</v>
      </c>
      <c r="B50" s="2" t="s">
        <v>105</v>
      </c>
      <c r="C50" s="2">
        <v>10</v>
      </c>
      <c r="D50" s="3">
        <v>60</v>
      </c>
      <c r="E50" s="9">
        <f t="shared" si="0"/>
        <v>600</v>
      </c>
      <c r="F50" s="10">
        <v>150</v>
      </c>
      <c r="G50" s="11">
        <v>120</v>
      </c>
      <c r="H50" s="10">
        <f t="shared" si="1"/>
        <v>1500</v>
      </c>
      <c r="I50" s="11">
        <f t="shared" si="2"/>
        <v>1200</v>
      </c>
      <c r="J50" s="10">
        <f>F50-D50</f>
        <v>90</v>
      </c>
      <c r="K50" s="11">
        <f>G50-D50</f>
        <v>60</v>
      </c>
      <c r="L50" s="10">
        <f t="shared" si="3"/>
        <v>900</v>
      </c>
      <c r="M50" s="11">
        <f t="shared" si="4"/>
        <v>600</v>
      </c>
    </row>
    <row r="51" spans="1:13" s="5" customFormat="1" x14ac:dyDescent="0.3">
      <c r="A51" s="2" t="s">
        <v>73</v>
      </c>
      <c r="B51" s="2" t="s">
        <v>106</v>
      </c>
      <c r="C51" s="2">
        <v>10</v>
      </c>
      <c r="D51" s="3">
        <v>60</v>
      </c>
      <c r="E51" s="9">
        <f t="shared" si="0"/>
        <v>600</v>
      </c>
      <c r="F51" s="10">
        <v>150</v>
      </c>
      <c r="G51" s="11">
        <v>110</v>
      </c>
      <c r="H51" s="10">
        <f t="shared" si="1"/>
        <v>1500</v>
      </c>
      <c r="I51" s="11">
        <f t="shared" si="2"/>
        <v>1100</v>
      </c>
      <c r="J51" s="10">
        <f t="shared" ref="J51" si="9">F51-D51</f>
        <v>90</v>
      </c>
      <c r="K51" s="11">
        <f t="shared" ref="K51" si="10">G51-D51</f>
        <v>50</v>
      </c>
      <c r="L51" s="10">
        <f t="shared" si="3"/>
        <v>900</v>
      </c>
      <c r="M51" s="11">
        <f t="shared" si="4"/>
        <v>500</v>
      </c>
    </row>
    <row r="52" spans="1:13" s="5" customFormat="1" x14ac:dyDescent="0.3">
      <c r="A52" s="2" t="s">
        <v>73</v>
      </c>
      <c r="B52" s="2" t="s">
        <v>107</v>
      </c>
      <c r="C52" s="2">
        <v>10</v>
      </c>
      <c r="D52" s="3">
        <v>70</v>
      </c>
      <c r="E52" s="9">
        <f t="shared" si="0"/>
        <v>700</v>
      </c>
      <c r="F52" s="10">
        <v>150</v>
      </c>
      <c r="G52" s="11">
        <v>120</v>
      </c>
      <c r="H52" s="10">
        <f t="shared" si="1"/>
        <v>1500</v>
      </c>
      <c r="I52" s="11">
        <f t="shared" si="2"/>
        <v>1200</v>
      </c>
      <c r="J52" s="10">
        <f t="shared" ref="J52" si="11">F52-D52</f>
        <v>80</v>
      </c>
      <c r="K52" s="11">
        <f t="shared" ref="K52" si="12">G52-D52</f>
        <v>50</v>
      </c>
      <c r="L52" s="10">
        <f t="shared" si="3"/>
        <v>800</v>
      </c>
      <c r="M52" s="11">
        <f t="shared" si="4"/>
        <v>500</v>
      </c>
    </row>
    <row r="53" spans="1:13" s="5" customFormat="1" x14ac:dyDescent="0.3">
      <c r="A53" s="2" t="s">
        <v>73</v>
      </c>
      <c r="B53" s="2" t="s">
        <v>108</v>
      </c>
      <c r="C53" s="2">
        <v>10</v>
      </c>
      <c r="D53" s="3">
        <v>90</v>
      </c>
      <c r="E53" s="9">
        <f t="shared" si="0"/>
        <v>900</v>
      </c>
      <c r="F53" s="10">
        <v>180</v>
      </c>
      <c r="G53" s="11">
        <v>150</v>
      </c>
      <c r="H53" s="10">
        <f t="shared" si="1"/>
        <v>1800</v>
      </c>
      <c r="I53" s="11">
        <f t="shared" si="2"/>
        <v>1500</v>
      </c>
      <c r="J53" s="10">
        <f t="shared" ref="J53" si="13">F53-D53</f>
        <v>90</v>
      </c>
      <c r="K53" s="11">
        <f t="shared" ref="K53" si="14">G53-D53</f>
        <v>60</v>
      </c>
      <c r="L53" s="10">
        <f t="shared" si="3"/>
        <v>900</v>
      </c>
      <c r="M53" s="11">
        <f t="shared" si="4"/>
        <v>600</v>
      </c>
    </row>
    <row r="54" spans="1:13" s="5" customFormat="1" x14ac:dyDescent="0.3">
      <c r="A54" s="2" t="s">
        <v>73</v>
      </c>
      <c r="B54" s="2" t="s">
        <v>109</v>
      </c>
      <c r="C54" s="2">
        <v>10</v>
      </c>
      <c r="D54" s="3">
        <v>80</v>
      </c>
      <c r="E54" s="9">
        <f t="shared" si="0"/>
        <v>800</v>
      </c>
      <c r="F54" s="10">
        <v>170</v>
      </c>
      <c r="G54" s="11">
        <v>130</v>
      </c>
      <c r="H54" s="10">
        <f t="shared" si="1"/>
        <v>1700</v>
      </c>
      <c r="I54" s="11">
        <f t="shared" si="2"/>
        <v>1300</v>
      </c>
      <c r="J54" s="10">
        <f t="shared" ref="J54" si="15">F54-D54</f>
        <v>90</v>
      </c>
      <c r="K54" s="11">
        <f t="shared" ref="K54" si="16">G54-D54</f>
        <v>50</v>
      </c>
      <c r="L54" s="10">
        <f t="shared" si="3"/>
        <v>900</v>
      </c>
      <c r="M54" s="11">
        <f t="shared" si="4"/>
        <v>500</v>
      </c>
    </row>
    <row r="55" spans="1:13" s="5" customFormat="1" x14ac:dyDescent="0.3">
      <c r="A55" s="2" t="s">
        <v>73</v>
      </c>
      <c r="B55" s="2" t="s">
        <v>110</v>
      </c>
      <c r="C55" s="2">
        <v>10</v>
      </c>
      <c r="D55" s="3">
        <v>80</v>
      </c>
      <c r="E55" s="9">
        <f t="shared" si="0"/>
        <v>800</v>
      </c>
      <c r="F55" s="10">
        <v>170</v>
      </c>
      <c r="G55" s="11">
        <v>130</v>
      </c>
      <c r="H55" s="10">
        <f t="shared" si="1"/>
        <v>1700</v>
      </c>
      <c r="I55" s="11">
        <f t="shared" si="2"/>
        <v>1300</v>
      </c>
      <c r="J55" s="10">
        <f t="shared" ref="J55:J56" si="17">F55-D55</f>
        <v>90</v>
      </c>
      <c r="K55" s="11">
        <f t="shared" ref="K55:K56" si="18">G55-D55</f>
        <v>50</v>
      </c>
      <c r="L55" s="10">
        <f t="shared" si="3"/>
        <v>900</v>
      </c>
      <c r="M55" s="11">
        <f t="shared" si="4"/>
        <v>500</v>
      </c>
    </row>
    <row r="56" spans="1:13" s="5" customFormat="1" x14ac:dyDescent="0.3">
      <c r="A56" s="2" t="s">
        <v>73</v>
      </c>
      <c r="B56" s="2" t="s">
        <v>111</v>
      </c>
      <c r="C56" s="2">
        <v>10</v>
      </c>
      <c r="D56" s="3">
        <v>90</v>
      </c>
      <c r="E56" s="9">
        <f t="shared" si="0"/>
        <v>900</v>
      </c>
      <c r="F56" s="10">
        <v>180</v>
      </c>
      <c r="G56" s="11">
        <v>150</v>
      </c>
      <c r="H56" s="10">
        <f t="shared" si="1"/>
        <v>1800</v>
      </c>
      <c r="I56" s="11">
        <f t="shared" si="2"/>
        <v>1500</v>
      </c>
      <c r="J56" s="10">
        <f t="shared" si="17"/>
        <v>90</v>
      </c>
      <c r="K56" s="11">
        <f t="shared" si="18"/>
        <v>60</v>
      </c>
      <c r="L56" s="10">
        <f t="shared" si="3"/>
        <v>900</v>
      </c>
      <c r="M56" s="11">
        <f t="shared" si="4"/>
        <v>600</v>
      </c>
    </row>
    <row r="57" spans="1:13" s="5" customFormat="1" x14ac:dyDescent="0.3">
      <c r="A57" s="2" t="s">
        <v>73</v>
      </c>
      <c r="B57" s="2" t="s">
        <v>112</v>
      </c>
      <c r="C57" s="2">
        <v>10</v>
      </c>
      <c r="D57" s="3">
        <v>100</v>
      </c>
      <c r="E57" s="9">
        <f t="shared" si="0"/>
        <v>1000</v>
      </c>
      <c r="F57" s="10">
        <v>200</v>
      </c>
      <c r="G57" s="11">
        <v>170</v>
      </c>
      <c r="H57" s="10">
        <f t="shared" si="1"/>
        <v>2000</v>
      </c>
      <c r="I57" s="11">
        <f t="shared" si="2"/>
        <v>1700</v>
      </c>
      <c r="J57" s="10">
        <f t="shared" ref="J57" si="19">F57-D57</f>
        <v>100</v>
      </c>
      <c r="K57" s="11">
        <f t="shared" ref="K57" si="20">G57-D57</f>
        <v>70</v>
      </c>
      <c r="L57" s="10">
        <f t="shared" si="3"/>
        <v>1000</v>
      </c>
      <c r="M57" s="11">
        <f t="shared" si="4"/>
        <v>700</v>
      </c>
    </row>
    <row r="58" spans="1:13" s="5" customFormat="1" x14ac:dyDescent="0.3">
      <c r="A58" s="2" t="s">
        <v>73</v>
      </c>
      <c r="B58" s="2" t="s">
        <v>113</v>
      </c>
      <c r="C58" s="2">
        <v>10</v>
      </c>
      <c r="D58" s="3">
        <v>100</v>
      </c>
      <c r="E58" s="9">
        <f t="shared" si="0"/>
        <v>1000</v>
      </c>
      <c r="F58" s="10">
        <v>200</v>
      </c>
      <c r="G58" s="11">
        <v>180</v>
      </c>
      <c r="H58" s="10">
        <f t="shared" si="1"/>
        <v>2000</v>
      </c>
      <c r="I58" s="11">
        <f t="shared" si="2"/>
        <v>1800</v>
      </c>
      <c r="J58" s="10">
        <f t="shared" ref="J58" si="21">F58-D58</f>
        <v>100</v>
      </c>
      <c r="K58" s="11">
        <f t="shared" ref="K58" si="22">G58-D58</f>
        <v>80</v>
      </c>
      <c r="L58" s="10">
        <f t="shared" si="3"/>
        <v>1000</v>
      </c>
      <c r="M58" s="11">
        <f t="shared" si="4"/>
        <v>800</v>
      </c>
    </row>
    <row r="59" spans="1:13" x14ac:dyDescent="0.3">
      <c r="A59" s="2" t="s">
        <v>75</v>
      </c>
      <c r="B59" s="2" t="s">
        <v>114</v>
      </c>
      <c r="C59" s="2">
        <v>12</v>
      </c>
      <c r="D59" s="3">
        <v>50</v>
      </c>
      <c r="E59" s="9">
        <f t="shared" si="0"/>
        <v>600</v>
      </c>
      <c r="F59" s="10">
        <v>120</v>
      </c>
      <c r="G59" s="11">
        <v>100</v>
      </c>
      <c r="H59" s="10">
        <f t="shared" si="1"/>
        <v>1440</v>
      </c>
      <c r="I59" s="11">
        <f t="shared" si="2"/>
        <v>1200</v>
      </c>
      <c r="J59" s="10">
        <f>F59-D59</f>
        <v>70</v>
      </c>
      <c r="K59" s="11">
        <f>G59-D59</f>
        <v>50</v>
      </c>
      <c r="L59" s="10">
        <f t="shared" si="3"/>
        <v>840</v>
      </c>
      <c r="M59" s="11">
        <f t="shared" si="4"/>
        <v>600</v>
      </c>
    </row>
    <row r="60" spans="1:13" x14ac:dyDescent="0.3">
      <c r="A60" s="2" t="s">
        <v>76</v>
      </c>
      <c r="B60" s="2" t="s">
        <v>115</v>
      </c>
      <c r="C60" s="2">
        <v>16</v>
      </c>
      <c r="D60" s="3">
        <v>10</v>
      </c>
      <c r="E60" s="9">
        <f t="shared" si="0"/>
        <v>160</v>
      </c>
      <c r="F60" s="10">
        <v>30</v>
      </c>
      <c r="G60" s="11">
        <v>25</v>
      </c>
      <c r="H60" s="10">
        <f t="shared" si="1"/>
        <v>480</v>
      </c>
      <c r="I60" s="11">
        <f t="shared" si="2"/>
        <v>400</v>
      </c>
      <c r="J60" s="10">
        <f>F60-D60</f>
        <v>20</v>
      </c>
      <c r="K60" s="11">
        <f>G60-D60</f>
        <v>15</v>
      </c>
      <c r="L60" s="10">
        <f t="shared" si="3"/>
        <v>320</v>
      </c>
      <c r="M60" s="11">
        <f t="shared" si="4"/>
        <v>240</v>
      </c>
    </row>
    <row r="61" spans="1:13" x14ac:dyDescent="0.3">
      <c r="A61" s="2" t="s">
        <v>77</v>
      </c>
      <c r="B61" s="2" t="s">
        <v>78</v>
      </c>
      <c r="C61" s="2">
        <v>16</v>
      </c>
      <c r="D61" s="3">
        <v>30</v>
      </c>
      <c r="E61" s="9">
        <f t="shared" si="0"/>
        <v>480</v>
      </c>
      <c r="F61" s="10">
        <v>50</v>
      </c>
      <c r="G61" s="11">
        <v>45</v>
      </c>
      <c r="H61" s="10">
        <f t="shared" si="1"/>
        <v>800</v>
      </c>
      <c r="I61" s="11">
        <f t="shared" si="2"/>
        <v>720</v>
      </c>
      <c r="J61" s="10">
        <f>F61-D61</f>
        <v>20</v>
      </c>
      <c r="K61" s="11">
        <f>G61-D61</f>
        <v>15</v>
      </c>
      <c r="L61" s="10">
        <f t="shared" si="3"/>
        <v>320</v>
      </c>
      <c r="M61" s="11">
        <f t="shared" si="4"/>
        <v>240</v>
      </c>
    </row>
    <row r="62" spans="1:13" x14ac:dyDescent="0.3">
      <c r="A62" s="2" t="s">
        <v>79</v>
      </c>
      <c r="B62" s="2" t="s">
        <v>117</v>
      </c>
      <c r="C62" s="2">
        <v>60</v>
      </c>
      <c r="D62" s="3">
        <v>17</v>
      </c>
      <c r="E62" s="9">
        <f t="shared" si="0"/>
        <v>1020</v>
      </c>
      <c r="F62" s="10">
        <v>40</v>
      </c>
      <c r="G62" s="11">
        <v>30</v>
      </c>
      <c r="H62" s="10">
        <f t="shared" si="1"/>
        <v>2400</v>
      </c>
      <c r="I62" s="11">
        <f t="shared" si="2"/>
        <v>1800</v>
      </c>
      <c r="J62" s="10">
        <f>F62-D62</f>
        <v>23</v>
      </c>
      <c r="K62" s="11">
        <f>G62-D62</f>
        <v>13</v>
      </c>
      <c r="L62" s="10">
        <f t="shared" si="3"/>
        <v>1380</v>
      </c>
      <c r="M62" s="11">
        <f t="shared" si="4"/>
        <v>780</v>
      </c>
    </row>
    <row r="63" spans="1:13" x14ac:dyDescent="0.3">
      <c r="A63" s="2" t="s">
        <v>80</v>
      </c>
      <c r="B63" s="2" t="s">
        <v>118</v>
      </c>
      <c r="C63" s="2">
        <v>6</v>
      </c>
      <c r="D63" s="3">
        <v>250</v>
      </c>
      <c r="E63" s="9">
        <f t="shared" si="0"/>
        <v>1500</v>
      </c>
      <c r="F63" s="10">
        <v>380</v>
      </c>
      <c r="G63" s="11">
        <v>340</v>
      </c>
      <c r="H63" s="10">
        <f t="shared" si="1"/>
        <v>2280</v>
      </c>
      <c r="I63" s="11">
        <f t="shared" si="2"/>
        <v>2040</v>
      </c>
      <c r="J63" s="10">
        <f>F63-D63</f>
        <v>130</v>
      </c>
      <c r="K63" s="11">
        <f>G63-D63</f>
        <v>90</v>
      </c>
      <c r="L63" s="10">
        <f t="shared" si="3"/>
        <v>780</v>
      </c>
      <c r="M63" s="11">
        <f t="shared" si="4"/>
        <v>540</v>
      </c>
    </row>
    <row r="64" spans="1:13" x14ac:dyDescent="0.3">
      <c r="A64" s="2" t="s">
        <v>81</v>
      </c>
      <c r="B64" s="2" t="s">
        <v>82</v>
      </c>
      <c r="C64" s="2">
        <v>12</v>
      </c>
      <c r="D64" s="3">
        <v>40</v>
      </c>
      <c r="E64" s="9">
        <f t="shared" si="0"/>
        <v>480</v>
      </c>
      <c r="F64" s="10">
        <v>80</v>
      </c>
      <c r="G64" s="11">
        <v>70</v>
      </c>
      <c r="H64" s="10">
        <f t="shared" si="1"/>
        <v>960</v>
      </c>
      <c r="I64" s="11">
        <f t="shared" si="2"/>
        <v>840</v>
      </c>
      <c r="J64" s="10">
        <f>F64-D64</f>
        <v>40</v>
      </c>
      <c r="K64" s="11">
        <f>G64-D64</f>
        <v>30</v>
      </c>
      <c r="L64" s="10">
        <f t="shared" si="3"/>
        <v>480</v>
      </c>
      <c r="M64" s="11">
        <f t="shared" si="4"/>
        <v>360</v>
      </c>
    </row>
    <row r="65" spans="1:13" x14ac:dyDescent="0.3">
      <c r="A65" s="2" t="s">
        <v>83</v>
      </c>
      <c r="B65" s="2" t="s">
        <v>119</v>
      </c>
      <c r="C65" s="2">
        <v>10</v>
      </c>
      <c r="D65" s="3">
        <v>65</v>
      </c>
      <c r="E65" s="9">
        <f t="shared" si="0"/>
        <v>650</v>
      </c>
      <c r="F65" s="10">
        <v>120</v>
      </c>
      <c r="G65" s="11">
        <v>100</v>
      </c>
      <c r="H65" s="10">
        <f t="shared" si="1"/>
        <v>1200</v>
      </c>
      <c r="I65" s="11">
        <f t="shared" si="2"/>
        <v>1000</v>
      </c>
      <c r="J65" s="10">
        <f>F65-D65</f>
        <v>55</v>
      </c>
      <c r="K65" s="11">
        <f>G65-D65</f>
        <v>35</v>
      </c>
      <c r="L65" s="10">
        <f t="shared" si="3"/>
        <v>550</v>
      </c>
      <c r="M65" s="11">
        <f t="shared" si="4"/>
        <v>350</v>
      </c>
    </row>
    <row r="66" spans="1:13" x14ac:dyDescent="0.3">
      <c r="A66" s="2" t="s">
        <v>84</v>
      </c>
      <c r="B66" s="2" t="s">
        <v>85</v>
      </c>
      <c r="C66" s="2">
        <v>120</v>
      </c>
      <c r="D66" s="3">
        <v>15</v>
      </c>
      <c r="E66" s="9">
        <f t="shared" si="0"/>
        <v>1800</v>
      </c>
      <c r="F66" s="10">
        <v>135</v>
      </c>
      <c r="G66" s="11">
        <v>220</v>
      </c>
      <c r="H66" s="10">
        <f t="shared" si="1"/>
        <v>16200</v>
      </c>
      <c r="I66" s="11">
        <f t="shared" si="2"/>
        <v>26400</v>
      </c>
      <c r="J66" s="10">
        <f>F66-D66</f>
        <v>120</v>
      </c>
      <c r="K66" s="11">
        <f>G66-D66</f>
        <v>205</v>
      </c>
      <c r="L66" s="10">
        <f t="shared" si="3"/>
        <v>14400</v>
      </c>
      <c r="M66" s="11">
        <f t="shared" si="4"/>
        <v>24600</v>
      </c>
    </row>
    <row r="67" spans="1:13" x14ac:dyDescent="0.3">
      <c r="A67" s="2" t="s">
        <v>86</v>
      </c>
      <c r="B67" s="2" t="s">
        <v>87</v>
      </c>
      <c r="C67" s="2">
        <v>90</v>
      </c>
      <c r="D67" s="3">
        <v>10</v>
      </c>
      <c r="E67" s="9">
        <f t="shared" ref="E67:E69" si="23">C67*D67</f>
        <v>900</v>
      </c>
      <c r="F67" s="10">
        <v>130</v>
      </c>
      <c r="G67" s="11">
        <v>220</v>
      </c>
      <c r="H67" s="10">
        <f t="shared" ref="H67:H69" si="24">F67*C67</f>
        <v>11700</v>
      </c>
      <c r="I67" s="11">
        <f t="shared" ref="I67:I69" si="25">G67*C67</f>
        <v>19800</v>
      </c>
      <c r="J67" s="10">
        <f>F67-D67</f>
        <v>120</v>
      </c>
      <c r="K67" s="11">
        <f>G67-D67</f>
        <v>210</v>
      </c>
      <c r="L67" s="10">
        <f t="shared" ref="L67:L68" si="26">H67-E67</f>
        <v>10800</v>
      </c>
      <c r="M67" s="11">
        <f t="shared" ref="M67:M68" si="27">I67-E67</f>
        <v>18900</v>
      </c>
    </row>
    <row r="68" spans="1:13" x14ac:dyDescent="0.3">
      <c r="A68" s="2" t="s">
        <v>88</v>
      </c>
      <c r="B68" s="2" t="s">
        <v>134</v>
      </c>
      <c r="C68" s="2">
        <v>10</v>
      </c>
      <c r="D68" s="3">
        <v>130</v>
      </c>
      <c r="E68" s="9">
        <f t="shared" si="23"/>
        <v>1300</v>
      </c>
      <c r="F68" s="10">
        <v>250</v>
      </c>
      <c r="G68" s="11">
        <v>230</v>
      </c>
      <c r="H68" s="10">
        <f t="shared" si="24"/>
        <v>2500</v>
      </c>
      <c r="I68" s="11">
        <f t="shared" si="25"/>
        <v>2300</v>
      </c>
      <c r="J68" s="10">
        <f>F68-D68</f>
        <v>120</v>
      </c>
      <c r="K68" s="11">
        <f>G68-D68</f>
        <v>100</v>
      </c>
      <c r="L68" s="10">
        <f t="shared" si="26"/>
        <v>1200</v>
      </c>
      <c r="M68" s="11">
        <f t="shared" si="27"/>
        <v>1000</v>
      </c>
    </row>
    <row r="69" spans="1:13" x14ac:dyDescent="0.3">
      <c r="A69" s="13" t="s">
        <v>116</v>
      </c>
      <c r="B69" s="14"/>
      <c r="C69" s="14">
        <f>SUM(C2:C68)</f>
        <v>867</v>
      </c>
      <c r="D69" s="14">
        <f t="shared" ref="D69:K69" si="28">SUM(D2:D68)</f>
        <v>16773</v>
      </c>
      <c r="E69" s="14">
        <f t="shared" si="28"/>
        <v>112048</v>
      </c>
      <c r="F69" s="14">
        <f t="shared" si="28"/>
        <v>26470</v>
      </c>
      <c r="G69" s="14">
        <f t="shared" si="28"/>
        <v>23725</v>
      </c>
      <c r="H69" s="14">
        <f t="shared" si="28"/>
        <v>198600</v>
      </c>
      <c r="I69" s="14">
        <f t="shared" si="28"/>
        <v>197510</v>
      </c>
      <c r="J69" s="14">
        <f t="shared" si="28"/>
        <v>9697</v>
      </c>
      <c r="K69" s="14">
        <f t="shared" si="28"/>
        <v>6952</v>
      </c>
      <c r="L69" s="14">
        <f t="shared" ref="L69" si="29">SUM(L2:L68)</f>
        <v>86552</v>
      </c>
      <c r="M69" s="14">
        <f t="shared" ref="M69" si="30">SUM(M2:M68)</f>
        <v>85462</v>
      </c>
    </row>
    <row r="71" spans="1:13" x14ac:dyDescent="0.3">
      <c r="A71" s="4"/>
    </row>
    <row r="72" spans="1:13" x14ac:dyDescent="0.3">
      <c r="A72" s="4"/>
      <c r="B72" s="5"/>
    </row>
    <row r="73" spans="1:13" x14ac:dyDescent="0.3">
      <c r="A73" s="4"/>
      <c r="B73" s="6"/>
    </row>
    <row r="74" spans="1:13" x14ac:dyDescent="0.3">
      <c r="A74" s="4"/>
      <c r="B74" s="6"/>
    </row>
    <row r="75" spans="1:13" x14ac:dyDescent="0.3">
      <c r="A75" s="4"/>
      <c r="B75" s="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C5A32-7AA1-4B4E-A634-38F776F5BE81}">
  <dimension ref="A1:D7"/>
  <sheetViews>
    <sheetView workbookViewId="0">
      <selection activeCell="D12" sqref="D12"/>
    </sheetView>
  </sheetViews>
  <sheetFormatPr defaultRowHeight="14.4" x14ac:dyDescent="0.3"/>
  <cols>
    <col min="1" max="1" width="17.6640625" customWidth="1"/>
    <col min="2" max="2" width="19.109375" customWidth="1"/>
    <col min="3" max="4" width="10.44140625" customWidth="1"/>
  </cols>
  <sheetData>
    <row r="1" spans="1:4" x14ac:dyDescent="0.3">
      <c r="A1" s="15" t="s">
        <v>130</v>
      </c>
      <c r="B1" s="15"/>
      <c r="C1" s="15"/>
      <c r="D1" s="15"/>
    </row>
    <row r="2" spans="1:4" x14ac:dyDescent="0.3">
      <c r="A2" s="16" t="s">
        <v>138</v>
      </c>
      <c r="B2" s="12" t="s">
        <v>139</v>
      </c>
      <c r="C2" s="17" t="s">
        <v>136</v>
      </c>
      <c r="D2" s="17" t="s">
        <v>137</v>
      </c>
    </row>
    <row r="3" spans="1:4" x14ac:dyDescent="0.3">
      <c r="A3" s="16" t="s">
        <v>132</v>
      </c>
      <c r="B3" s="12">
        <f>SUM('Hardware Inventory'!E2:'Hardware Inventory'!E68)</f>
        <v>112048</v>
      </c>
      <c r="C3" s="17"/>
      <c r="D3" s="17"/>
    </row>
    <row r="4" spans="1:4" x14ac:dyDescent="0.3">
      <c r="A4" s="16" t="s">
        <v>131</v>
      </c>
      <c r="B4" s="12">
        <f>SUM('Hardware Inventory'!H2:'Hardware Inventory'!H68)</f>
        <v>198600</v>
      </c>
      <c r="C4" s="17"/>
      <c r="D4" s="17"/>
    </row>
    <row r="5" spans="1:4" x14ac:dyDescent="0.3">
      <c r="A5" s="16" t="s">
        <v>133</v>
      </c>
      <c r="B5" s="12">
        <f>SUM('Hardware Inventory'!I2:'Hardware Inventory'!I68)</f>
        <v>197510</v>
      </c>
      <c r="C5" s="17"/>
      <c r="D5" s="17"/>
    </row>
    <row r="6" spans="1:4" x14ac:dyDescent="0.3">
      <c r="A6" s="16" t="s">
        <v>135</v>
      </c>
      <c r="B6" s="12">
        <f>SUM('Hardware Inventory'!L2:'Hardware Inventory'!L68)</f>
        <v>86552</v>
      </c>
      <c r="C6" s="17"/>
      <c r="D6" s="17"/>
    </row>
    <row r="7" spans="1:4" x14ac:dyDescent="0.3">
      <c r="A7" s="16" t="s">
        <v>133</v>
      </c>
      <c r="B7" s="12">
        <f>SUM('Hardware Inventory'!M2:'Hardware Inventory'!M68)</f>
        <v>85462</v>
      </c>
      <c r="C7" s="17"/>
      <c r="D7" s="17"/>
    </row>
  </sheetData>
  <mergeCells count="1">
    <mergeCell ref="A1:D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Hardware Inventory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Hillary Lihanda</cp:lastModifiedBy>
  <cp:revision>0</cp:revision>
  <dcterms:created xsi:type="dcterms:W3CDTF">2026-02-14T15:53:14Z</dcterms:created>
  <dcterms:modified xsi:type="dcterms:W3CDTF">2026-02-15T08:45:41Z</dcterms:modified>
  <dc:language>en-US</dc:language>
</cp:coreProperties>
</file>